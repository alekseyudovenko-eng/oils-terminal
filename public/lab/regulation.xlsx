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Сводка по странам" sheetId="1" state="visible" r:id="rId3"/>
    <sheet name="Меры" sheetId="2" state="visible" r:id="rId4"/>
    <sheet name="Справочник" sheetId="3" state="visible" r:id="rId5"/>
  </sheets>
  <definedNames>
    <definedName function="false" hidden="true" localSheetId="1" name="_xlnm._FilterDatabase" vbProcedure="false">Меры!$A$1:$L$26</definedName>
    <definedName function="false" hidden="true" localSheetId="0" name="_xlnm._FilterDatabase" vbProcedure="false">'Сводка по странам'!$A$1:$M$21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<sst xmlns="http://schemas.openxmlformats.org/spreadsheetml/2006/main" count="489" uniqueCount="319">
  <si>
    <t xml:space="preserve">№</t>
  </si>
  <si>
    <t xml:space="preserve">Страна</t>
  </si>
  <si>
    <t xml:space="preserve">Блок</t>
  </si>
  <si>
    <t xml:space="preserve">Формулировка на упаковке</t>
  </si>
  <si>
    <t xml:space="preserve">Использование заявки «без пальмового масла»</t>
  </si>
  <si>
    <t xml:space="preserve">Норм всего (вкл. блок)</t>
  </si>
  <si>
    <t xml:space="preserve">Действуют</t>
  </si>
  <si>
    <t xml:space="preserve">Вступают позже</t>
  </si>
  <si>
    <t xml:space="preserve">Предложения</t>
  </si>
  <si>
    <t xml:space="preserve">Регулирование кратко</t>
  </si>
  <si>
    <t xml:space="preserve">Рыночная практика заявки</t>
  </si>
  <si>
    <t xml:space="preserve">Код</t>
  </si>
  <si>
    <t xml:space="preserve">Код блока</t>
  </si>
  <si>
    <t xml:space="preserve">Польша</t>
  </si>
  <si>
    <t xml:space="preserve">ЕС</t>
  </si>
  <si>
    <t xml:space="preserve">bez oleju palmowego</t>
  </si>
  <si>
    <t xml:space="preserve">Высокая</t>
  </si>
  <si>
    <t xml:space="preserve">Национальных норм о пальмовом масле нет; действуют общие правила ЕС.</t>
  </si>
  <si>
    <t xml:space="preserve">Żabka: 100% собственных марок без пальмового масла, в брендах поставщиков — только RSPO. Заявка на снеках, пастах, детских смесях, B2B-маргаринах.</t>
  </si>
  <si>
    <t xml:space="preserve">PL</t>
  </si>
  <si>
    <t xml:space="preserve">EU</t>
  </si>
  <si>
    <t xml:space="preserve">Чехия</t>
  </si>
  <si>
    <t xml:space="preserve">bez palmového oleje</t>
  </si>
  <si>
    <t xml:space="preserve">Заявка в названиях товаров онлайн-ритейла (Rohlik: Lef, Chocoland). Родина «Дня без пальмового масла» (1 февраля).</t>
  </si>
  <si>
    <t xml:space="preserve">CZ</t>
  </si>
  <si>
    <t xml:space="preserve">Словакия</t>
  </si>
  <si>
    <t xml:space="preserve">bez palmového oleja</t>
  </si>
  <si>
    <t xml:space="preserve">Средняя</t>
  </si>
  <si>
    <t xml:space="preserve">Национальных норм о пальмовом масле нет; общие правила ЕС, включая запрет «двойного качества».</t>
  </si>
  <si>
    <t xml:space="preserve">Локальные бренды ореховых паст; тема «двойного качества» (пальмовое масло вместо масла в рецептурах для Востока).</t>
  </si>
  <si>
    <t xml:space="preserve">SK</t>
  </si>
  <si>
    <t xml:space="preserve">Венгрия</t>
  </si>
  <si>
    <t xml:space="preserve">pálmaolaj-mentes</t>
  </si>
  <si>
    <t xml:space="preserve">Низкая</t>
  </si>
  <si>
    <t xml:space="preserve">Национальных норм о пальмовом масле не выявлено; действуют общие правила ЕС.</t>
  </si>
  <si>
    <t xml:space="preserve">Ниша free-from; в СМИ тема звучит через цены и EUDR.</t>
  </si>
  <si>
    <t xml:space="preserve">HU</t>
  </si>
  <si>
    <t xml:space="preserve">Румыния</t>
  </si>
  <si>
    <t xml:space="preserve">fără ulei de palmier</t>
  </si>
  <si>
    <t xml:space="preserve">Штатный фильтр «Fara ulei de palmier» на eMAG; free-from магазины.</t>
  </si>
  <si>
    <t xml:space="preserve">RO</t>
  </si>
  <si>
    <t xml:space="preserve">Болгария</t>
  </si>
  <si>
    <t xml:space="preserve">без палмово масло</t>
  </si>
  <si>
    <t xml:space="preserve">Нет данных</t>
  </si>
  <si>
    <t xml:space="preserve">Публикаций за период не найдено; заявка встречается на импорте из ЕС.</t>
  </si>
  <si>
    <t xml:space="preserve">BG</t>
  </si>
  <si>
    <t xml:space="preserve">Эстония</t>
  </si>
  <si>
    <t xml:space="preserve">palmiõlita</t>
  </si>
  <si>
    <t xml:space="preserve">Публикаций за период не найдено.</t>
  </si>
  <si>
    <t xml:space="preserve">EE</t>
  </si>
  <si>
    <t xml:space="preserve">Латвия</t>
  </si>
  <si>
    <t xml:space="preserve">bez palmu eļļas</t>
  </si>
  <si>
    <t xml:space="preserve">Дискуссия о пальмовом масле в детских смесях (LSM).</t>
  </si>
  <si>
    <t xml:space="preserve">LV</t>
  </si>
  <si>
    <t xml:space="preserve">Литва</t>
  </si>
  <si>
    <t xml:space="preserve">be palmių aliejaus</t>
  </si>
  <si>
    <t xml:space="preserve">Повестка — пальмовое масло в биотопливе, а не упаковка.</t>
  </si>
  <si>
    <t xml:space="preserve">LT</t>
  </si>
  <si>
    <t xml:space="preserve">Хорватия</t>
  </si>
  <si>
    <t xml:space="preserve">bez palminog ulja</t>
  </si>
  <si>
    <t xml:space="preserve">В основном косметика и мыло; Lidl Hrvatska — политика RSPO, а не отказа.</t>
  </si>
  <si>
    <t xml:space="preserve">HR</t>
  </si>
  <si>
    <t xml:space="preserve">Беларусь</t>
  </si>
  <si>
    <t xml:space="preserve">ЕАЭС</t>
  </si>
  <si>
    <t xml:space="preserve">без пальмового масла</t>
  </si>
  <si>
    <t xml:space="preserve">Нормы ЕАЭС. Беларусь — инициатор обязательного указания вида растительного масла в составе.</t>
  </si>
  <si>
    <t xml:space="preserve">Данных о добровольной заявке за период не найдено. НАН разработала методику выявления пальмового масла в продуктах.</t>
  </si>
  <si>
    <t xml:space="preserve">BY</t>
  </si>
  <si>
    <t xml:space="preserve">EAEU</t>
  </si>
  <si>
    <t xml:space="preserve">Молдова</t>
  </si>
  <si>
    <t xml:space="preserve">Вне ЕС и ЕАЭС</t>
  </si>
  <si>
    <t xml:space="preserve">Усиленный контроль импортных партий пальмового масла (3-MCPD).</t>
  </si>
  <si>
    <t xml:space="preserve">Заявка встречается на импорте из ЕС и Румынии.</t>
  </si>
  <si>
    <t xml:space="preserve">MD</t>
  </si>
  <si>
    <t xml:space="preserve">-</t>
  </si>
  <si>
    <t xml:space="preserve">Украина</t>
  </si>
  <si>
    <t xml:space="preserve">без пальмової олії</t>
  </si>
  <si>
    <t xml:space="preserve">Самое жёсткое законодательство региона: запреты в молочке, детском питании и кондитерке плюс маркировка.</t>
  </si>
  <si>
    <t xml:space="preserve">Заявка у брендов и на маркетплейсах (Prom.ua).</t>
  </si>
  <si>
    <t xml:space="preserve">UA</t>
  </si>
  <si>
    <t xml:space="preserve">Россия</t>
  </si>
  <si>
    <t xml:space="preserve">Нормы ЕАЭС + ГОСТ 31647–2025 и цифровая маркировка масел «Честный знак»; в Госдуме обсуждаются новые ограничения.</t>
  </si>
  <si>
    <t xml:space="preserve">Каталог «Безпальмы.рф» (дек. 2025); сети продвигают «полезный» ассортимент; Роскачество проверяет шоколад на отсутствие пальмового масла.</t>
  </si>
  <si>
    <t xml:space="preserve">RU</t>
  </si>
  <si>
    <t xml:space="preserve">Казахстан</t>
  </si>
  <si>
    <t xml:space="preserve">Нормы ЕАЭС; обязательная цифровая маркировка растительных масел с 1.04.2027.</t>
  </si>
  <si>
    <t xml:space="preserve">Заявка единичная.</t>
  </si>
  <si>
    <t xml:space="preserve">KZ</t>
  </si>
  <si>
    <t xml:space="preserve">Кыргызстан</t>
  </si>
  <si>
    <t xml:space="preserve">Нормы ЕАЭС; борьба с фальсификатом молока на пальмовом масле.</t>
  </si>
  <si>
    <t xml:space="preserve">KG</t>
  </si>
  <si>
    <t xml:space="preserve">Таджикистан</t>
  </si>
  <si>
    <t xml:space="preserve">—</t>
  </si>
  <si>
    <t xml:space="preserve">Нет</t>
  </si>
  <si>
    <t xml:space="preserve">Запрет ввоза пальмового масла, кроме сырья для промышленной переработки.</t>
  </si>
  <si>
    <t xml:space="preserve">Заявка не встречается.</t>
  </si>
  <si>
    <t xml:space="preserve">TJ</t>
  </si>
  <si>
    <t xml:space="preserve">Туркменистан</t>
  </si>
  <si>
    <t xml:space="preserve">Публичных данных о специальном регулировании не найдено.</t>
  </si>
  <si>
    <t xml:space="preserve">Публичных данных нет.</t>
  </si>
  <si>
    <t xml:space="preserve">TM</t>
  </si>
  <si>
    <t xml:space="preserve">Узбекистан</t>
  </si>
  <si>
    <t xml:space="preserve">без пальмового масла / palma moyisiz</t>
  </si>
  <si>
    <t xml:space="preserve">Обязательный лабораторный контроль (2025), проект акциза $139/т (2026), цифровая маркировка масел с 1.07.2027.</t>
  </si>
  <si>
    <t xml:space="preserve">Заявка у отдельных брендов; в прессе звучит критика таких заявок как вводящих в заблуждение.</t>
  </si>
  <si>
    <t xml:space="preserve">UZ</t>
  </si>
  <si>
    <t xml:space="preserve">Армения</t>
  </si>
  <si>
    <t xml:space="preserve">Нормы ЕАЭС + надпись «содержит заменитель молочного жира» и отдельная выкладка с 27.04.2025.</t>
  </si>
  <si>
    <t xml:space="preserve">AM</t>
  </si>
  <si>
    <t xml:space="preserve">Итого норм в базе</t>
  </si>
  <si>
    <t xml:space="preserve">Столбцы F–I считаются формулами по листу «Меры»: нормы страны + общие нормы её блока (ЕС или ЕАЭС). Столбец E — экспертная оценка по публикациям, выбирается из списка.</t>
  </si>
  <si>
    <t xml:space="preserve">Код охвата</t>
  </si>
  <si>
    <t xml:space="preserve">Охват</t>
  </si>
  <si>
    <t xml:space="preserve">Тип меры</t>
  </si>
  <si>
    <t xml:space="preserve">Статус</t>
  </si>
  <si>
    <t xml:space="preserve">Дата вступления</t>
  </si>
  <si>
    <t xml:space="preserve">Правовой акт / источник нормы</t>
  </si>
  <si>
    <t xml:space="preserve">Мера</t>
  </si>
  <si>
    <t xml:space="preserve">Описание</t>
  </si>
  <si>
    <t xml:space="preserve">Measure (EN)</t>
  </si>
  <si>
    <t xml:space="preserve">Description (EN)</t>
  </si>
  <si>
    <t xml:space="preserve">Ссылка</t>
  </si>
  <si>
    <t xml:space="preserve">ЕС (общие нормы)</t>
  </si>
  <si>
    <t xml:space="preserve">Раскрытие в составе / маркировка</t>
  </si>
  <si>
    <t xml:space="preserve">Действует</t>
  </si>
  <si>
    <t xml:space="preserve">13.12.2014</t>
  </si>
  <si>
    <t xml:space="preserve">Регламент (ЕС) № 1169/2011 (FIC)</t>
  </si>
  <si>
    <t xml:space="preserve">Обязательное указание вида растительного масла</t>
  </si>
  <si>
    <t xml:space="preserve">Рафинированные масла в составе указываются с ботаническим происхождением — «пальмовое» нельзя скрыть за «растительным жиром». Добровольная заявка «без пальмового масла» допустима, если правдива и не вводит в заблуждение.</t>
  </si>
  <si>
    <t xml:space="preserve">Mandatory naming of the vegetable oil</t>
  </si>
  <si>
    <t xml:space="preserve">Refined oils in the ingredient list must state their vegetable origin, so palm oil cannot hide behind ‘vegetable fat’. A voluntary ‘palm oil free’ claim is allowed if true and not misleading.</t>
  </si>
  <si>
    <t xml:space="preserve">https://eur-lex.europa.eu/eli/reg/2011/1169/oj</t>
  </si>
  <si>
    <t xml:space="preserve">Правила заявок</t>
  </si>
  <si>
    <t xml:space="preserve">28.05.2022</t>
  </si>
  <si>
    <t xml:space="preserve">Директива (ЕС) 2019/2161 (Omnibus), ст. 6(2)(c) UCPD</t>
  </si>
  <si>
    <t xml:space="preserve">Запрет «двойного качества»</t>
  </si>
  <si>
    <t xml:space="preserve">Нельзя продавать под одним брендом товар заметно иного состава в разных странах ЕС без объективной причины — основание споров о замене масла на пальмовое в рецептурах для Восточной Европы.</t>
  </si>
  <si>
    <t xml:space="preserve">Ban on ‘dual quality’</t>
  </si>
  <si>
    <t xml:space="preserve">A product marketed as identical across EU countries may not differ markedly in composition without an objective reason — the basis of disputes over palm oil replacing butter in East European recipes.</t>
  </si>
  <si>
    <t xml:space="preserve">https://eur-lex.europa.eu/eli/dir/2019/2161/oj</t>
  </si>
  <si>
    <t xml:space="preserve">27.09.2026</t>
  </si>
  <si>
    <t xml:space="preserve">Директива (ЕС) 2024/825 (EmpCo)</t>
  </si>
  <si>
    <t xml:space="preserve">Запрет общих эко-заявок и самодельных эко-значков</t>
  </si>
  <si>
    <t xml:space="preserve">Общие экологические заявки без признанной выдающейся экологичности и собственные эко-лейблы без сертификации запрещены. «Без пальмового масла» само по себе не запрещено, но эко-обоснование («ради лесов») и самодельные значки «palm oil free» — под риском.</t>
  </si>
  <si>
    <t xml:space="preserve">Ban on generic green claims and self-made eco labels</t>
  </si>
  <si>
    <t xml:space="preserve">Generic environmental claims without recognised excellent performance and uncertified own eco labels are banned. ‘Palm oil free’ itself is not banned, but eco framing (‘to save forests’) and home-made ‘palm oil free’ badges are at risk.</t>
  </si>
  <si>
    <t xml:space="preserve">https://eur-lex.europa.eu/eli/dir/2024/825/oj</t>
  </si>
  <si>
    <t xml:space="preserve">Устойчивость (EUDR)</t>
  </si>
  <si>
    <t xml:space="preserve">Принято, вступает позже</t>
  </si>
  <si>
    <t xml:space="preserve">30.12.2026</t>
  </si>
  <si>
    <t xml:space="preserve">Регламент (ЕС) 2023/1115 (EUDR), ред. 2025/2650</t>
  </si>
  <si>
    <t xml:space="preserve">Пальмовое масло только «deforestation-free»</t>
  </si>
  <si>
    <t xml:space="preserve">Операторы обязаны доказать, что пальмовое масло не связано с вырубкой лесов после 31.12.2020 (геолокация плантаций). Средние и крупные — с 30.12.2026, малые и микро — с 30.06.2027.</t>
  </si>
  <si>
    <t xml:space="preserve">Palm oil must be deforestation-free</t>
  </si>
  <si>
    <t xml:space="preserve">Operators must prove palm oil is not linked to deforestation after 31 Dec 2020 (plot geolocation). Medium and large firms from 30 Dec 2026, micro and small from 30 Jun 2027.</t>
  </si>
  <si>
    <t xml:space="preserve">https://vinciworks.com/blog/eudr-delayed-again-what-changed-what-is-now-fixed-and-what-businesses-should-do-in-2026/</t>
  </si>
  <si>
    <t xml:space="preserve">Предложение / проект</t>
  </si>
  <si>
    <t xml:space="preserve">04.05.2026</t>
  </si>
  <si>
    <t xml:space="preserve">Проект делегированного акта к EUDR</t>
  </si>
  <si>
    <t xml:space="preserve">Расширение EUDR на производные пальмового масла</t>
  </si>
  <si>
    <t xml:space="preserve">Еврокомиссия предложила включить олеохимию (жирные кислоты, их эфиры, мыло на пальмовом масле).</t>
  </si>
  <si>
    <t xml:space="preserve">EUDR extended to palm oil derivatives</t>
  </si>
  <si>
    <t xml:space="preserve">The Commission proposed adding oleochemicals (fatty acids, their esters, palm-based soap).</t>
  </si>
  <si>
    <t xml:space="preserve">https://blog.foodsconnected.com/7-key-takeaways-from-the-april-2026-eudr-review</t>
  </si>
  <si>
    <t xml:space="preserve">ЕАЭС (общие нормы)</t>
  </si>
  <si>
    <t xml:space="preserve">01.07.2013</t>
  </si>
  <si>
    <t xml:space="preserve">ТР ТС 022/2011 «Пищевая продукция в части её маркировки»</t>
  </si>
  <si>
    <t xml:space="preserve">Допускается общее название «масло растительное»</t>
  </si>
  <si>
    <t xml:space="preserve">Рафинированные масла можно указывать в составе как «масло (жир) растительное» без вида — главная лазейка, позволяющая не называть пальмовое масло.</t>
  </si>
  <si>
    <t xml:space="preserve">Generic ‘vegetable oil’ name allowed</t>
  </si>
  <si>
    <t xml:space="preserve">Refined oils may be listed as ‘vegetable oil (fat)’ without the species — the main loophole for not naming palm oil.</t>
  </si>
  <si>
    <t xml:space="preserve">https://eec.eaeunion.org/comission/department/deptexreg/tr/PischevkaMarkirovka.php</t>
  </si>
  <si>
    <t xml:space="preserve">Изменения в ТР ТС 022/2011 (разработчик — Беларусь)</t>
  </si>
  <si>
    <t xml:space="preserve">Предложено обязать указывать вид масла в составе; Минздрав Казахстана поддержал, «Атамекен» возражал. Изменение пока не принято.</t>
  </si>
  <si>
    <t xml:space="preserve">Mandatory naming of the vegetable oil species</t>
  </si>
  <si>
    <t xml:space="preserve">Proposal to require the oil species in the ingredient list; Kazakhstan’s health ministry supported it, Atameken objected. Not adopted yet.</t>
  </si>
  <si>
    <t xml:space="preserve">https://nkprom.ru/news/v-tr-ts-022-2011-pishchevaya-produktsiya-v-chasti-ee-markirovki-i-tr-ts-022-2011-o-bezopasnosti-sred/</t>
  </si>
  <si>
    <t xml:space="preserve">Стандарты качества</t>
  </si>
  <si>
    <t xml:space="preserve">22.12.2024</t>
  </si>
  <si>
    <t xml:space="preserve">ТР ТС 024/2011 «Технический регламент на масложировую продукцию» (новая ред.)</t>
  </si>
  <si>
    <t xml:space="preserve">Обновлённые требования к масложировой продукции</t>
  </si>
  <si>
    <t xml:space="preserve">Новые определения спредов, топлёных смесей, переэтерифицированных жиров, понятие повторной рафинации.</t>
  </si>
  <si>
    <t xml:space="preserve">Updated rules for oil and fat products</t>
  </si>
  <si>
    <t xml:space="preserve">New definitions of spreads, blended fats, interesterified fats; concept of re-refining.</t>
  </si>
  <si>
    <t xml:space="preserve">https://foodsmi.com/zakonodatelstvo/izmeneniya-v-tekhreglamente-na-maslozhirovuyu-produktsiyu/</t>
  </si>
  <si>
    <t xml:space="preserve">Молочка и заменители молочного жира</t>
  </si>
  <si>
    <t xml:space="preserve">ТР ТС 033/2013 «О безопасности молока и молочной продукции»</t>
  </si>
  <si>
    <t xml:space="preserve">Продукты с заменителем молочного жира — отдельная категория</t>
  </si>
  <si>
    <t xml:space="preserve">Продукция с растительными жирами называется «молокосодержащий продукт с заменителем молочного жира» («спред», «сырный продукт» и т. п.) и не может называться маслом или сыром.</t>
  </si>
  <si>
    <t xml:space="preserve">Products with milk fat substitute are a separate category</t>
  </si>
  <si>
    <t xml:space="preserve">Products with vegetable fats must be called ‘milk-containing product with milk fat substitute’ (spread, cheese product, etc.), not butter or cheese.</t>
  </si>
  <si>
    <t xml:space="preserve">Запрет / ограничение состава</t>
  </si>
  <si>
    <t xml:space="preserve">11.2025</t>
  </si>
  <si>
    <t xml:space="preserve">Закон України № 3947-IX від 04.09.2024</t>
  </si>
  <si>
    <t xml:space="preserve">Запреты пальмового масла в молочке, детском питании и кондитерке</t>
  </si>
  <si>
    <t xml:space="preserve">Запрет пальмового масла в традиционных молочных продуктах; гидрогенизированных жиров — в детском питании и кондитерке (шоколад, мороженое); лимит трансжиров ≤ 2 г на 100 г жира; штрафы 45–65 минимальных зарплат. Подписан 6.11.2024, вводится в действие через год после опубликования.</t>
  </si>
  <si>
    <t xml:space="preserve">Palm oil bans in dairy, baby food and confectionery</t>
  </si>
  <si>
    <t xml:space="preserve">Bans palm oil in traditional dairy; hydrogenated fats in baby food and confectionery (chocolate, ice cream); trans fat ≤ 2 g per 100 g of fat; fines of 45–65 minimum wages. Signed 6 Nov 2024, enacted one year after publication.</t>
  </si>
  <si>
    <t xml:space="preserve">https://biz.ligazakon.net/news/231710_prezident-pdpisav-zakon-pro-obmezhennya-vikoristannya-palmovo-ol-u-produktakh-kharchuvannya</t>
  </si>
  <si>
    <t xml:space="preserve">Закон України № 3947-IX</t>
  </si>
  <si>
    <t xml:space="preserve">Маркировка продуктов с пальмовым маслом</t>
  </si>
  <si>
    <t xml:space="preserve">Закон требует «чёткой и понятной» маркировки. Законопроект предусматривал надпись «містить пальмову олію»; разъяснения 2026 года указывают, что отдельного значка на лицевой стороне нет — формат требует проверки по тексту закона.</t>
  </si>
  <si>
    <t xml:space="preserve">Labelling of products containing palm oil</t>
  </si>
  <si>
    <t xml:space="preserve">The law requires ‘clear and understandable’ labelling. The bill foresaw a ‘contains palm oil’ statement; 2026 guidance says there is no separate front-of-pack mark — format to verify against the law text.</t>
  </si>
  <si>
    <t xml:space="preserve">https://ngu.com.ua/palmova-oliia-shkoda-sklad-doza-i-etyketka/</t>
  </si>
  <si>
    <t xml:space="preserve">Импортный контроль</t>
  </si>
  <si>
    <t xml:space="preserve">04.09.2025</t>
  </si>
  <si>
    <t xml:space="preserve">Приказ ANSA № 352 от 04.09.2025 (изм. приказом № 369)</t>
  </si>
  <si>
    <t xml:space="preserve">Усиленный контроль импортного пальмового масла</t>
  </si>
  <si>
    <t xml:space="preserve">Партии пальмового масла на границе проходят лабораторные испытания, в том числе на 3-MCPD, после выявленных превышений.</t>
  </si>
  <si>
    <t xml:space="preserve">Tighter control of imported palm oil</t>
  </si>
  <si>
    <t xml:space="preserve">Palm oil lots are lab-tested at the border, including for 3-MCPD, after exceedances were found.</t>
  </si>
  <si>
    <t xml:space="preserve">https://ansa.gov.md/sites/default/files/documents/Ordine/Ordin%20nr.%20369.pdf</t>
  </si>
  <si>
    <t xml:space="preserve">01.01.2026</t>
  </si>
  <si>
    <t xml:space="preserve">ГОСТ 31647–2025 «Масло пальмовое рафинированное…»</t>
  </si>
  <si>
    <t xml:space="preserve">Новый стандарт на пальмовое масло</t>
  </si>
  <si>
    <t xml:space="preserve">Ужесточены требования к очистке, безопасности, происхождению сырья, контролю, хранению и маркировке пальмового масла для пищевой промышленности.</t>
  </si>
  <si>
    <t xml:space="preserve">New palm oil standard</t>
  </si>
  <si>
    <t xml:space="preserve">Tighter requirements on refining, safety, origin, control, storage and labelling of palm oil for food use.</t>
  </si>
  <si>
    <t xml:space="preserve">https://www.retail.ru/news/v-rossii-poyavilsya-edinyy-katalog-produktov-bez-palmy-23-dekabrya-2025-272975/</t>
  </si>
  <si>
    <t xml:space="preserve">Цифровая маркировка и прослеживаемость</t>
  </si>
  <si>
    <t xml:space="preserve">01.11.2026</t>
  </si>
  <si>
    <t xml:space="preserve">Маркировка «Честный знак» (растительные масла, ТН ВЭД 1511 и др.)</t>
  </si>
  <si>
    <t xml:space="preserve">Поэкземплярный учёт растительных масел</t>
  </si>
  <si>
    <t xml:space="preserve">Маркировка производителей и импортёров — с 1.10.2024 и 1.02.2025, вывод из оборота на кассе — с 1.11.2025, УПД с кодом каждой упаковки — с 1.11.2026.</t>
  </si>
  <si>
    <t xml:space="preserve">Unit-level tracking of vegetable oils</t>
  </si>
  <si>
    <t xml:space="preserve">Producer and importer marking since 1 Oct 2024 and 1 Feb 2025, checkout reporting since 1 Nov 2025, invoices with each pack’s code from 1 Nov 2026.</t>
  </si>
  <si>
    <t xml:space="preserve">https://www.klerk.ru/buh/articles/713288/</t>
  </si>
  <si>
    <t xml:space="preserve">01.07.2019</t>
  </si>
  <si>
    <t xml:space="preserve">Правила продажи товаров (розница)</t>
  </si>
  <si>
    <t xml:space="preserve">Отдельная выкладка молочки без ЗМЖ</t>
  </si>
  <si>
    <t xml:space="preserve">Молочные продукты без заменителя молочного жира выкладываются отдельно и обозначаются на полке; продукция с ЗМЖ визуально отделена.</t>
  </si>
  <si>
    <t xml:space="preserve">Separate shelving of dairy without milk fat substitute</t>
  </si>
  <si>
    <t xml:space="preserve">Dairy without milk fat substitute is displayed separately and marked on the shelf; products with substitutes are kept apart.</t>
  </si>
  <si>
    <t xml:space="preserve">https://www.gazeta.ru/business/2019/07/01/12467725.shtml</t>
  </si>
  <si>
    <t xml:space="preserve">2025</t>
  </si>
  <si>
    <t xml:space="preserve">Предложения депутатов Госдумы (Н. Школкина)</t>
  </si>
  <si>
    <t xml:space="preserve">Маркировка пальмового сырья и запрет в детском питании</t>
  </si>
  <si>
    <t xml:space="preserve">Предложено маркировать всё пальмовое сырьё в «Честном знаке» и запретить пальмовое масло в детском питании. Запрет в детском питании депутаты не поддержали: СанПиН уже ограничивает его в питании детей.</t>
  </si>
  <si>
    <t xml:space="preserve">Tracking of palm raw material and baby-food ban</t>
  </si>
  <si>
    <t xml:space="preserve">Proposals to track all palm raw material in Chestny Znak and ban palm oil in baby food. The Duma did not back the ban: sanitary rules already limit it in children’s catering.</t>
  </si>
  <si>
    <t xml:space="preserve">https://oleoscope.com/analytics/gosduma-predlozhila-markirovku-dlja-masla/</t>
  </si>
  <si>
    <t xml:space="preserve">22.07.2026</t>
  </si>
  <si>
    <t xml:space="preserve">Обращение «Здоровое Отечество» к председателю Госдумы</t>
  </si>
  <si>
    <t xml:space="preserve">Предупредительная маркировка продуктов с пальмовым маслом</t>
  </si>
  <si>
    <t xml:space="preserve">Предложено показывать содержание сахара, соли, жиров и калорий относительно норм на продуктах с пальмовым маслом.</t>
  </si>
  <si>
    <t xml:space="preserve">Warning labels for products with palm oil</t>
  </si>
  <si>
    <t xml:space="preserve">Proposal to show sugar, salt, fat and calories against reference intakes on products with palm oil.</t>
  </si>
  <si>
    <t xml:space="preserve">https://ria.ru/20260722/markirovka-2106133235.html</t>
  </si>
  <si>
    <t xml:space="preserve">01.04.2027</t>
  </si>
  <si>
    <t xml:space="preserve">Перечень товаров, подлежащих маркировке (ред. 2026)</t>
  </si>
  <si>
    <t xml:space="preserve">Обязательная цифровая маркировка растительных масел</t>
  </si>
  <si>
    <t xml:space="preserve">Пилот — с сентября 2025. С 1.04.2027 маркируются масла в потребительской упаковке, включая пальмовое, маргарин и заменители какао-масла.</t>
  </si>
  <si>
    <t xml:space="preserve">Mandatory digital marking of vegetable oils</t>
  </si>
  <si>
    <t xml:space="preserve">Pilot since September 2025. From 1 Apr 2027 consumer-packed oils are marked, including palm oil, margarine and cocoa butter substitutes.</t>
  </si>
  <si>
    <t xml:space="preserve">https://inbusiness.kz/ru/news/v-kazahstane-pochti-vdvoe-rasshirili-markirovku-tovarov</t>
  </si>
  <si>
    <t xml:space="preserve">Позиция отраслевой ассоциации маслопереработчиков</t>
  </si>
  <si>
    <t xml:space="preserve">Обязательное указание пальмового масла в составе</t>
  </si>
  <si>
    <t xml:space="preserve">Маслопереработчики выступают за раскрытие пальмового масла; «Атамекен» возражает, ссылаясь на отсутствие методик.</t>
  </si>
  <si>
    <t xml:space="preserve">Mandatory naming of palm oil in ingredients</t>
  </si>
  <si>
    <t xml:space="preserve">Oil processors back disclosure of palm oil; Atameken objects, citing lack of test methods.</t>
  </si>
  <si>
    <t xml:space="preserve">https://kapital.kz/business/134274/maslopererabotchiki-rk-vystupayut-za-ukazaniye-nalichiya-v-produktakh-pal-movogo-masla.html</t>
  </si>
  <si>
    <t xml:space="preserve">Нормы ЕАЭС; заявление Минсельхоза КР</t>
  </si>
  <si>
    <t xml:space="preserve">Запрет пальмового масла в молоке</t>
  </si>
  <si>
    <t xml:space="preserve">Минсельхоз заявил, что использовать пальмовое масло в производстве молока запрещено, и передал ГКНБ данные о поставщиках фальсификата.</t>
  </si>
  <si>
    <t xml:space="preserve">No palm oil in milk</t>
  </si>
  <si>
    <t xml:space="preserve">The agriculture ministry stated palm oil may not be used in milk and passed data on adulterating suppliers to the security service.</t>
  </si>
  <si>
    <t xml:space="preserve">https://dairynews.today/kz/news/v-kyrgyzstane-obsuzhdayut-ispolzovanie-palmovogo-masla-v-proizvodstve-moloka.html</t>
  </si>
  <si>
    <t xml:space="preserve">01.05.2020</t>
  </si>
  <si>
    <t xml:space="preserve">Постановление Правительства РТ № 260 от 01.05.2020</t>
  </si>
  <si>
    <t xml:space="preserve">Запрет ввоза пальмового масла</t>
  </si>
  <si>
    <t xml:space="preserve">Запрещён ввоз всех видов пальмового масла, кроме сырья для промышленной переработки и производства конечной продукции.</t>
  </si>
  <si>
    <t xml:space="preserve">Palm oil import ban</t>
  </si>
  <si>
    <t xml:space="preserve">Import of all palm oil is banned except as raw material for industrial processing.</t>
  </si>
  <si>
    <t xml:space="preserve">https://base.spinform.ru/show_doc.fwx?rgn=124770</t>
  </si>
  <si>
    <t xml:space="preserve">01.03.2025</t>
  </si>
  <si>
    <t xml:space="preserve">Постановление Президента РУз от 30.01.2025</t>
  </si>
  <si>
    <t xml:space="preserve">Обязательный лабораторный контроль</t>
  </si>
  <si>
    <t xml:space="preserve">Импортное пальмовое масло, молочная продукция и продукты с трансжирами проходят испытания в аккредитованных лабораториях для санэпидзаключения; проверки предприятий по всей цепочке. Льготы по пошлинам на пальмовое и кокосовое масло продлены на два года.</t>
  </si>
  <si>
    <t xml:space="preserve">Mandatory lab testing</t>
  </si>
  <si>
    <t xml:space="preserve">Imported palm oil, dairy and trans-fat products are tested in accredited labs for sanitary clearance; inspections along the chain. Duty exemptions on palm and coconut oil extended for two years.</t>
  </si>
  <si>
    <t xml:space="preserve">https://podrobno.uz/cat/obchestvo/v-uzbekistane-vvodyat-obyazatelnyy-laboratornyy-kontrol-palmovogo-masla-i-transzhirov/</t>
  </si>
  <si>
    <t xml:space="preserve">Налоги</t>
  </si>
  <si>
    <t xml:space="preserve">30.07.2026</t>
  </si>
  <si>
    <t xml:space="preserve">Предложение института при Минэкономфине РУз</t>
  </si>
  <si>
    <t xml:space="preserve">Акциз на пальмовое масло $139/т</t>
  </si>
  <si>
    <t xml:space="preserve">Ожидаемые поступления — 21,7 млрд сумов. Авторы считают, что одной маркировки недостаточно и нужен ценовой сигнал.</t>
  </si>
  <si>
    <t xml:space="preserve">Palm oil excise of $139/t</t>
  </si>
  <si>
    <t xml:space="preserve">Expected revenue 21.7 bn soums. Authors argue labelling alone is not enough and a price signal is needed.</t>
  </si>
  <si>
    <t xml:space="preserve">https://www.spot.uz/ru/2026/07/30/palm-oil</t>
  </si>
  <si>
    <t xml:space="preserve">01.07.2027</t>
  </si>
  <si>
    <t xml:space="preserve">Постановление Кабмина № 23 от 23.01.2026; проект порядка (обсуждение до 24.10.2026)</t>
  </si>
  <si>
    <t xml:space="preserve">Цифровая маркировка растительных масел</t>
  </si>
  <si>
    <t xml:space="preserve">Пилот 1.07–31.12.2026, обязательная маркировка с 1.07.2027: код GS1 DataMatrix, система Asl Belgisi, товарные группы 1507–1515, включая пальмовое масло.</t>
  </si>
  <si>
    <t xml:space="preserve">Digital marking of vegetable oils</t>
  </si>
  <si>
    <t xml:space="preserve">Pilot 1 Jul–31 Dec 2026, mandatory from 1 Jul 2027: GS1 DataMatrix, Asl Belgisi system, HS 1507–1515 incl. palm oil.</t>
  </si>
  <si>
    <t xml:space="preserve">https://vzglyad.uz/2026/10/09/obsuzhdenie-poryadka-markirovki-rastitelnogo-masla</t>
  </si>
  <si>
    <t xml:space="preserve">27.04.2025</t>
  </si>
  <si>
    <t xml:space="preserve">Поправки в Кодекс РА об административных правонарушениях</t>
  </si>
  <si>
    <t xml:space="preserve">«Содержит заменитель молочного жира»</t>
  </si>
  <si>
    <t xml:space="preserve">Продукты с заменителями молочного жира выкладываются отдельно и маркируются надписью «содержит заменитель молочного жира».</t>
  </si>
  <si>
    <t xml:space="preserve">‘Contains milk fat substitute’</t>
  </si>
  <si>
    <t xml:space="preserve">Products with milk fat substitutes are shelved separately and labelled ‘contains milk fat substitute’.</t>
  </si>
  <si>
    <t xml:space="preserve">https://dairynews.today/kz/news/armenia-to-enforce-stricter-labeling-rules-for-dairy-and-meat-products.html</t>
  </si>
  <si>
    <t xml:space="preserve">Регуляторная политика: маркировки и пальмовое масло</t>
  </si>
  <si>
    <t xml:space="preserve">Подготовлено</t>
  </si>
  <si>
    <t xml:space="preserve">International Marketing Agency (IMA)</t>
  </si>
  <si>
    <t xml:space="preserve">Данные на</t>
  </si>
  <si>
    <t xml:space="preserve">23.10.2026</t>
  </si>
  <si>
    <t xml:space="preserve">Период обзора</t>
  </si>
  <si>
    <t xml:space="preserve">октябрь 2025 – октябрь 2026 (и действующие нормы прошлых лет)</t>
  </si>
  <si>
    <t xml:space="preserve">Статусы</t>
  </si>
  <si>
    <t xml:space="preserve">Типы мер</t>
  </si>
  <si>
    <t xml:space="preserve">Шкала использования заявки</t>
  </si>
  <si>
    <t xml:space="preserve">Экспертная оценка по найденным публикациям: Высокая / Средняя / Низкая / Нет / Нет данных.</t>
  </si>
  <si>
    <t xml:space="preserve">Ограничения</t>
  </si>
  <si>
    <t xml:space="preserve">Источники — открытый веб на национальных языках. Аудит полок и платные базы (Mintel GNPD, Euromonitor) не использовались. Даты без дня указаны с точностью до месяца или года; «—» — дата не установлена.</t>
  </si>
  <si>
    <t xml:space="preserve">Оговорка</t>
  </si>
  <si>
    <t xml:space="preserve">Справочный материал, не юридическая консультация. Перед решениями проверяйте текст нормы по ссылке.</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</si>
</sst>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u val="single"/>
      <sz val="10"/>
      <color rgb="FF0563C1"/>
      <name val="Arial"/>
      <family val="0"/>
      <charset val="1"/>
    </font>
    <font>
      <b val="true"/>
      <sz val="13"/>
      <name val="Arial"/>
      <family val="0"/>
      <charset val="1"/>
    </font>
  </fonts>
  <fills count="6">
    <fill>
      <patternFill patternType="none"/>
    </fill>
    <fill>
      <patternFill patternType="gray125"/>
    </fill>
    <fill>
      <patternFill patternType="solid">
        <fgColor rgb="FF17241F"/>
        <bgColor rgb="FF333333"/>
      </patternFill>
    </fill>
    <fill>
      <patternFill patternType="solid">
        <fgColor rgb="FFE5F4E4"/>
        <bgColor rgb="FFF0EFEC"/>
      </patternFill>
    </fill>
    <fill>
      <patternFill patternType="solid">
        <fgColor rgb="FFF9EEDA"/>
        <bgColor rgb="FFF0EFEC"/>
      </patternFill>
    </fill>
    <fill>
      <patternFill patternType="solid">
        <fgColor rgb="FFF0EFEC"/>
        <bgColor rgb="FFE5F4E4"/>
      </patternFill>
    </fill>
  </fills>
  <borders count="2">
    <border diagonalUp="false" diagonalDown="false">
      <left/>
      <right/>
      <top/>
      <bottom/>
      <diagonal/>
    </border>
    <border diagonalUp="false" diagonalDown="false">
      <left style="thin">
        <color rgb="FFD9DFD6"/>
      </left>
      <right style="thin">
        <color rgb="FFD9DFD6"/>
      </right>
      <top style="thin">
        <color rgb="FFD9DFD6"/>
      </top>
      <bottom style="thin">
        <color rgb="FFD9DF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7241F"/>
          <bgColor rgb="FF000000"/>
        </patternFill>
      </fill>
    </dxf>
    <dxf>
      <fill>
        <patternFill patternType="solid">
          <bgColor rgb="FF000000"/>
        </patternFill>
      </fill>
    </dxf>
    <dxf>
      <fill>
        <patternFill patternType="solid">
          <fgColor rgb="FFFFFFFF"/>
          <bgColor rgb="FF000000"/>
        </patternFill>
      </fill>
    </dxf>
    <dxf>
      <fill>
        <patternFill patternType="solid">
          <fgColor rgb="FFE5F4E4"/>
          <bgColor rgb="FF000000"/>
        </patternFill>
      </fill>
    </dxf>
    <dxf>
      <fill>
        <patternFill patternType="solid">
          <fgColor rgb="FFF0EFEC"/>
          <bgColor rgb="FF000000"/>
        </patternFill>
      </fill>
    </dxf>
    <dxf>
      <fill>
        <patternFill patternType="solid">
          <fgColor rgb="FFF9EEDA"/>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9EEDA"/>
      <rgbColor rgb="FFF0EFEC"/>
      <rgbColor rgb="FF660066"/>
      <rgbColor rgb="FFFF8080"/>
      <rgbColor rgb="FF0563C1"/>
      <rgbColor rgb="FFD9DFD6"/>
      <rgbColor rgb="FF000080"/>
      <rgbColor rgb="FFFF00FF"/>
      <rgbColor rgb="FFFFFF00"/>
      <rgbColor rgb="FF00FFFF"/>
      <rgbColor rgb="FF800080"/>
      <rgbColor rgb="FF800000"/>
      <rgbColor rgb="FF008080"/>
      <rgbColor rgb="FF0000FF"/>
      <rgbColor rgb="FF00CCFF"/>
      <rgbColor rgb="FFCCFFFF"/>
      <rgbColor rgb="FFE5F4E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7241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eur-lex.europa.eu/eli/reg/2011/1169/oj" TargetMode="External"/><Relationship Id="rId2" Type="http://schemas.openxmlformats.org/officeDocument/2006/relationships/hyperlink" Target="https://eur-lex.europa.eu/eli/dir/2019/2161/oj" TargetMode="External"/><Relationship Id="rId3" Type="http://schemas.openxmlformats.org/officeDocument/2006/relationships/hyperlink" Target="https://eur-lex.europa.eu/eli/dir/2024/825/oj" TargetMode="External"/><Relationship Id="rId4" Type="http://schemas.openxmlformats.org/officeDocument/2006/relationships/hyperlink" Target="https://vinciworks.com/blog/eudr-delayed-again-what-changed-what-is-now-fixed-and-what-businesses-should-do-in-2026/" TargetMode="External"/><Relationship Id="rId5" Type="http://schemas.openxmlformats.org/officeDocument/2006/relationships/hyperlink" Target="https://blog.foodsconnected.com/7-key-takeaways-from-the-april-2026-eudr-review" TargetMode="External"/><Relationship Id="rId6" Type="http://schemas.openxmlformats.org/officeDocument/2006/relationships/hyperlink" Target="https://eec.eaeunion.org/comission/department/deptexreg/tr/PischevkaMarkirovka.php" TargetMode="External"/><Relationship Id="rId7" Type="http://schemas.openxmlformats.org/officeDocument/2006/relationships/hyperlink" Target="https://nkprom.ru/news/v-tr-ts-022-2011-pishchevaya-produktsiya-v-chasti-ee-markirovki-i-tr-ts-022-2011-o-bezopasnosti-sred/" TargetMode="External"/><Relationship Id="rId8" Type="http://schemas.openxmlformats.org/officeDocument/2006/relationships/hyperlink" Target="https://foodsmi.com/zakonodatelstvo/izmeneniya-v-tekhreglamente-na-maslozhirovuyu-produktsiyu/" TargetMode="External"/><Relationship Id="rId9" Type="http://schemas.openxmlformats.org/officeDocument/2006/relationships/hyperlink" Target="https://biz.ligazakon.net/news/231710_prezident-pdpisav-zakon-pro-obmezhennya-vikoristannya-palmovo-ol-u-produktakh-kharchuvannya" TargetMode="External"/><Relationship Id="rId10" Type="http://schemas.openxmlformats.org/officeDocument/2006/relationships/hyperlink" Target="https://ngu.com.ua/palmova-oliia-shkoda-sklad-doza-i-etyketka/" TargetMode="External"/><Relationship Id="rId11" Type="http://schemas.openxmlformats.org/officeDocument/2006/relationships/hyperlink" Target="https://ansa.gov.md/sites/default/files/documents/Ordine/Ordin%20nr.%20369.pdf" TargetMode="External"/><Relationship Id="rId12" Type="http://schemas.openxmlformats.org/officeDocument/2006/relationships/hyperlink" Target="https://www.retail.ru/news/v-rossii-poyavilsya-edinyy-katalog-produktov-bez-palmy-23-dekabrya-2025-272975/" TargetMode="External"/><Relationship Id="rId13" Type="http://schemas.openxmlformats.org/officeDocument/2006/relationships/hyperlink" Target="https://www.klerk.ru/buh/articles/713288/" TargetMode="External"/><Relationship Id="rId14" Type="http://schemas.openxmlformats.org/officeDocument/2006/relationships/hyperlink" Target="https://www.gazeta.ru/business/2019/07/01/12467725.shtml" TargetMode="External"/><Relationship Id="rId15" Type="http://schemas.openxmlformats.org/officeDocument/2006/relationships/hyperlink" Target="https://oleoscope.com/analytics/gosduma-predlozhila-markirovku-dlja-masla/" TargetMode="External"/><Relationship Id="rId16" Type="http://schemas.openxmlformats.org/officeDocument/2006/relationships/hyperlink" Target="https://ria.ru/20260722/markirovka-2106133235.html" TargetMode="External"/><Relationship Id="rId17" Type="http://schemas.openxmlformats.org/officeDocument/2006/relationships/hyperlink" Target="https://inbusiness.kz/ru/news/v-kazahstane-pochti-vdvoe-rasshirili-markirovku-tovarov" TargetMode="External"/><Relationship Id="rId18" Type="http://schemas.openxmlformats.org/officeDocument/2006/relationships/hyperlink" Target="https://kapital.kz/business/134274/maslopererabotchiki-rk-vystupayut-za-ukazaniye-nalichiya-v-produktakh-pal-movogo-masla.html" TargetMode="External"/><Relationship Id="rId19" Type="http://schemas.openxmlformats.org/officeDocument/2006/relationships/hyperlink" Target="https://dairynews.today/kz/news/v-kyrgyzstane-obsuzhdayut-ispolzovanie-palmovogo-masla-v-proizvodstve-moloka.html" TargetMode="External"/><Relationship Id="rId20" Type="http://schemas.openxmlformats.org/officeDocument/2006/relationships/hyperlink" Target="https://base.spinform.ru/show_doc.fwx?rgn=124770" TargetMode="External"/><Relationship Id="rId21" Type="http://schemas.openxmlformats.org/officeDocument/2006/relationships/hyperlink" Target="https://podrobno.uz/cat/obchestvo/v-uzbekistane-vvodyat-obyazatelnyy-laboratornyy-kontrol-palmovogo-masla-i-transzhirov/" TargetMode="External"/><Relationship Id="rId22" Type="http://schemas.openxmlformats.org/officeDocument/2006/relationships/hyperlink" Target="https://www.spot.uz/ru/2026/07/30/palm-oil" TargetMode="External"/><Relationship Id="rId23" Type="http://schemas.openxmlformats.org/officeDocument/2006/relationships/hyperlink" Target="https://vzglyad.uz/2026/10/09/obsuzhdenie-poryadka-markirovki-rastitelnogo-masla" TargetMode="External"/><Relationship Id="rId24" Type="http://schemas.openxmlformats.org/officeDocument/2006/relationships/hyperlink" Target="https://dairynews.today/kz/news/armenia-to-enforce-stricter-labeling-rules-for-dairy-and-meat-products.html" TargetMode="External"/><Relationship Id="rId25"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4"/>
    <col collapsed="false" customWidth="true" hidden="false" outlineLevel="0" max="4" min="4" style="0" width="26"/>
    <col collapsed="false" customWidth="true" hidden="false" outlineLevel="0" max="5" min="5" style="0" width="16"/>
    <col collapsed="false" customWidth="true" hidden="false" outlineLevel="0" max="9" min="6" style="0" width="11"/>
    <col collapsed="false" customWidth="true" hidden="false" outlineLevel="0" max="10" min="10" style="0" width="52"/>
    <col collapsed="false" customWidth="true" hidden="false" outlineLevel="0" max="11" min="11" style="0" width="60"/>
    <col collapsed="false" customWidth="true" hidden="false" outlineLevel="0" max="12" min="12" style="0" width="7"/>
    <col collapsed="false" customWidth="true" hidden="false" outlineLevel="0" max="13" min="13" style="0" width="8"/>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35.05" hidden="false" customHeight="false" outlineLevel="0" collapsed="false">
      <c r="A2" s="2" t="n">
        <v>1</v>
      </c>
      <c r="B2" s="3" t="s">
        <v>13</v>
      </c>
      <c r="C2" s="2" t="s">
        <v>14</v>
      </c>
      <c r="D2" s="2" t="s">
        <v>15</v>
      </c>
      <c r="E2" s="2" t="s">
        <v>16</v>
      </c>
      <c r="F2" s="4" t="n">
        <f aca="false">COUNTIF(Меры!$B$2:$B$26,L2)+COUNTIF(Меры!$B$2:$B$26,M2)</f>
        <v>5</v>
      </c>
      <c r="G2" s="4" t="n">
        <f aca="false">COUNTIFS(Меры!$B$2:$B$26,L2,Меры!$E$2:$E$26,"Действует")+COUNTIFS(Меры!$B$2:$B$26,M2,Меры!$E$2:$E$26,"Действует")</f>
        <v>3</v>
      </c>
      <c r="H2" s="4" t="n">
        <f aca="false">COUNTIFS(Меры!$B$2:$B$26,L2,Меры!$E$2:$E$26,"Принято, вступает позже")+COUNTIFS(Меры!$B$2:$B$26,M2,Меры!$E$2:$E$26,"Принято, вступает позже")</f>
        <v>1</v>
      </c>
      <c r="I2" s="4" t="n">
        <f aca="false">COUNTIFS(Меры!$B$2:$B$26,L2,Меры!$E$2:$E$26,"Предложение / проект")+COUNTIFS(Меры!$B$2:$B$26,M2,Меры!$E$2:$E$26,"Предложение / проект")</f>
        <v>1</v>
      </c>
      <c r="J2" s="2" t="s">
        <v>17</v>
      </c>
      <c r="K2" s="2" t="s">
        <v>18</v>
      </c>
      <c r="L2" s="2" t="s">
        <v>19</v>
      </c>
      <c r="M2" s="2" t="s">
        <v>20</v>
      </c>
    </row>
    <row r="3" customFormat="false" ht="23.85" hidden="false" customHeight="false" outlineLevel="0" collapsed="false">
      <c r="A3" s="2" t="n">
        <v>2</v>
      </c>
      <c r="B3" s="3" t="s">
        <v>21</v>
      </c>
      <c r="C3" s="2" t="s">
        <v>14</v>
      </c>
      <c r="D3" s="2" t="s">
        <v>22</v>
      </c>
      <c r="E3" s="2" t="s">
        <v>16</v>
      </c>
      <c r="F3" s="4" t="n">
        <f aca="false">COUNTIF(Меры!$B$2:$B$26,L3)+COUNTIF(Меры!$B$2:$B$26,M3)</f>
        <v>5</v>
      </c>
      <c r="G3" s="4" t="n">
        <f aca="false">COUNTIFS(Меры!$B$2:$B$26,L3,Меры!$E$2:$E$26,"Действует")+COUNTIFS(Меры!$B$2:$B$26,M3,Меры!$E$2:$E$26,"Действует")</f>
        <v>3</v>
      </c>
      <c r="H3" s="4" t="n">
        <f aca="false">COUNTIFS(Меры!$B$2:$B$26,L3,Меры!$E$2:$E$26,"Принято, вступает позже")+COUNTIFS(Меры!$B$2:$B$26,M3,Меры!$E$2:$E$26,"Принято, вступает позже")</f>
        <v>1</v>
      </c>
      <c r="I3" s="4" t="n">
        <f aca="false">COUNTIFS(Меры!$B$2:$B$26,L3,Меры!$E$2:$E$26,"Предложение / проект")+COUNTIFS(Меры!$B$2:$B$26,M3,Меры!$E$2:$E$26,"Предложение / проект")</f>
        <v>1</v>
      </c>
      <c r="J3" s="2" t="s">
        <v>17</v>
      </c>
      <c r="K3" s="2" t="s">
        <v>23</v>
      </c>
      <c r="L3" s="2" t="s">
        <v>24</v>
      </c>
      <c r="M3" s="2" t="s">
        <v>20</v>
      </c>
    </row>
    <row r="4" customFormat="false" ht="23.85" hidden="false" customHeight="false" outlineLevel="0" collapsed="false">
      <c r="A4" s="2" t="n">
        <v>3</v>
      </c>
      <c r="B4" s="3" t="s">
        <v>25</v>
      </c>
      <c r="C4" s="2" t="s">
        <v>14</v>
      </c>
      <c r="D4" s="2" t="s">
        <v>26</v>
      </c>
      <c r="E4" s="2" t="s">
        <v>27</v>
      </c>
      <c r="F4" s="4" t="n">
        <f aca="false">COUNTIF(Меры!$B$2:$B$26,L4)+COUNTIF(Меры!$B$2:$B$26,M4)</f>
        <v>5</v>
      </c>
      <c r="G4" s="4" t="n">
        <f aca="false">COUNTIFS(Меры!$B$2:$B$26,L4,Меры!$E$2:$E$26,"Действует")+COUNTIFS(Меры!$B$2:$B$26,M4,Меры!$E$2:$E$26,"Действует")</f>
        <v>3</v>
      </c>
      <c r="H4" s="4" t="n">
        <f aca="false">COUNTIFS(Меры!$B$2:$B$26,L4,Меры!$E$2:$E$26,"Принято, вступает позже")+COUNTIFS(Меры!$B$2:$B$26,M4,Меры!$E$2:$E$26,"Принято, вступает позже")</f>
        <v>1</v>
      </c>
      <c r="I4" s="4" t="n">
        <f aca="false">COUNTIFS(Меры!$B$2:$B$26,L4,Меры!$E$2:$E$26,"Предложение / проект")+COUNTIFS(Меры!$B$2:$B$26,M4,Меры!$E$2:$E$26,"Предложение / проект")</f>
        <v>1</v>
      </c>
      <c r="J4" s="2" t="s">
        <v>28</v>
      </c>
      <c r="K4" s="2" t="s">
        <v>29</v>
      </c>
      <c r="L4" s="2" t="s">
        <v>30</v>
      </c>
      <c r="M4" s="2" t="s">
        <v>20</v>
      </c>
    </row>
    <row r="5" customFormat="false" ht="23.85" hidden="false" customHeight="false" outlineLevel="0" collapsed="false">
      <c r="A5" s="2" t="n">
        <v>4</v>
      </c>
      <c r="B5" s="3" t="s">
        <v>31</v>
      </c>
      <c r="C5" s="2" t="s">
        <v>14</v>
      </c>
      <c r="D5" s="2" t="s">
        <v>32</v>
      </c>
      <c r="E5" s="2" t="s">
        <v>33</v>
      </c>
      <c r="F5" s="4" t="n">
        <f aca="false">COUNTIF(Меры!$B$2:$B$26,L5)+COUNTIF(Меры!$B$2:$B$26,M5)</f>
        <v>5</v>
      </c>
      <c r="G5" s="4" t="n">
        <f aca="false">COUNTIFS(Меры!$B$2:$B$26,L5,Меры!$E$2:$E$26,"Действует")+COUNTIFS(Меры!$B$2:$B$26,M5,Меры!$E$2:$E$26,"Действует")</f>
        <v>3</v>
      </c>
      <c r="H5" s="4" t="n">
        <f aca="false">COUNTIFS(Меры!$B$2:$B$26,L5,Меры!$E$2:$E$26,"Принято, вступает позже")+COUNTIFS(Меры!$B$2:$B$26,M5,Меры!$E$2:$E$26,"Принято, вступает позже")</f>
        <v>1</v>
      </c>
      <c r="I5" s="4" t="n">
        <f aca="false">COUNTIFS(Меры!$B$2:$B$26,L5,Меры!$E$2:$E$26,"Предложение / проект")+COUNTIFS(Меры!$B$2:$B$26,M5,Меры!$E$2:$E$26,"Предложение / проект")</f>
        <v>1</v>
      </c>
      <c r="J5" s="2" t="s">
        <v>34</v>
      </c>
      <c r="K5" s="2" t="s">
        <v>35</v>
      </c>
      <c r="L5" s="2" t="s">
        <v>36</v>
      </c>
      <c r="M5" s="2" t="s">
        <v>20</v>
      </c>
    </row>
    <row r="6" customFormat="false" ht="23.85" hidden="false" customHeight="false" outlineLevel="0" collapsed="false">
      <c r="A6" s="2" t="n">
        <v>5</v>
      </c>
      <c r="B6" s="3" t="s">
        <v>37</v>
      </c>
      <c r="C6" s="2" t="s">
        <v>14</v>
      </c>
      <c r="D6" s="2" t="s">
        <v>38</v>
      </c>
      <c r="E6" s="2" t="s">
        <v>27</v>
      </c>
      <c r="F6" s="4" t="n">
        <f aca="false">COUNTIF(Меры!$B$2:$B$26,L6)+COUNTIF(Меры!$B$2:$B$26,M6)</f>
        <v>5</v>
      </c>
      <c r="G6" s="4" t="n">
        <f aca="false">COUNTIFS(Меры!$B$2:$B$26,L6,Меры!$E$2:$E$26,"Действует")+COUNTIFS(Меры!$B$2:$B$26,M6,Меры!$E$2:$E$26,"Действует")</f>
        <v>3</v>
      </c>
      <c r="H6" s="4" t="n">
        <f aca="false">COUNTIFS(Меры!$B$2:$B$26,L6,Меры!$E$2:$E$26,"Принято, вступает позже")+COUNTIFS(Меры!$B$2:$B$26,M6,Меры!$E$2:$E$26,"Принято, вступает позже")</f>
        <v>1</v>
      </c>
      <c r="I6" s="4" t="n">
        <f aca="false">COUNTIFS(Меры!$B$2:$B$26,L6,Меры!$E$2:$E$26,"Предложение / проект")+COUNTIFS(Меры!$B$2:$B$26,M6,Меры!$E$2:$E$26,"Предложение / проект")</f>
        <v>1</v>
      </c>
      <c r="J6" s="2" t="s">
        <v>34</v>
      </c>
      <c r="K6" s="2" t="s">
        <v>39</v>
      </c>
      <c r="L6" s="2" t="s">
        <v>40</v>
      </c>
      <c r="M6" s="2" t="s">
        <v>20</v>
      </c>
    </row>
    <row r="7" customFormat="false" ht="23.85" hidden="false" customHeight="false" outlineLevel="0" collapsed="false">
      <c r="A7" s="2" t="n">
        <v>6</v>
      </c>
      <c r="B7" s="3" t="s">
        <v>41</v>
      </c>
      <c r="C7" s="2" t="s">
        <v>14</v>
      </c>
      <c r="D7" s="2" t="s">
        <v>42</v>
      </c>
      <c r="E7" s="2" t="s">
        <v>43</v>
      </c>
      <c r="F7" s="4" t="n">
        <f aca="false">COUNTIF(Меры!$B$2:$B$26,L7)+COUNTIF(Меры!$B$2:$B$26,M7)</f>
        <v>5</v>
      </c>
      <c r="G7" s="4" t="n">
        <f aca="false">COUNTIFS(Меры!$B$2:$B$26,L7,Меры!$E$2:$E$26,"Действует")+COUNTIFS(Меры!$B$2:$B$26,M7,Меры!$E$2:$E$26,"Действует")</f>
        <v>3</v>
      </c>
      <c r="H7" s="4" t="n">
        <f aca="false">COUNTIFS(Меры!$B$2:$B$26,L7,Меры!$E$2:$E$26,"Принято, вступает позже")+COUNTIFS(Меры!$B$2:$B$26,M7,Меры!$E$2:$E$26,"Принято, вступает позже")</f>
        <v>1</v>
      </c>
      <c r="I7" s="4" t="n">
        <f aca="false">COUNTIFS(Меры!$B$2:$B$26,L7,Меры!$E$2:$E$26,"Предложение / проект")+COUNTIFS(Меры!$B$2:$B$26,M7,Меры!$E$2:$E$26,"Предложение / проект")</f>
        <v>1</v>
      </c>
      <c r="J7" s="2" t="s">
        <v>34</v>
      </c>
      <c r="K7" s="2" t="s">
        <v>44</v>
      </c>
      <c r="L7" s="2" t="s">
        <v>45</v>
      </c>
      <c r="M7" s="2" t="s">
        <v>20</v>
      </c>
    </row>
    <row r="8" customFormat="false" ht="23.85" hidden="false" customHeight="false" outlineLevel="0" collapsed="false">
      <c r="A8" s="2" t="n">
        <v>7</v>
      </c>
      <c r="B8" s="3" t="s">
        <v>46</v>
      </c>
      <c r="C8" s="2" t="s">
        <v>14</v>
      </c>
      <c r="D8" s="2" t="s">
        <v>47</v>
      </c>
      <c r="E8" s="2" t="s">
        <v>43</v>
      </c>
      <c r="F8" s="4" t="n">
        <f aca="false">COUNTIF(Меры!$B$2:$B$26,L8)+COUNTIF(Меры!$B$2:$B$26,M8)</f>
        <v>5</v>
      </c>
      <c r="G8" s="4" t="n">
        <f aca="false">COUNTIFS(Меры!$B$2:$B$26,L8,Меры!$E$2:$E$26,"Действует")+COUNTIFS(Меры!$B$2:$B$26,M8,Меры!$E$2:$E$26,"Действует")</f>
        <v>3</v>
      </c>
      <c r="H8" s="4" t="n">
        <f aca="false">COUNTIFS(Меры!$B$2:$B$26,L8,Меры!$E$2:$E$26,"Принято, вступает позже")+COUNTIFS(Меры!$B$2:$B$26,M8,Меры!$E$2:$E$26,"Принято, вступает позже")</f>
        <v>1</v>
      </c>
      <c r="I8" s="4" t="n">
        <f aca="false">COUNTIFS(Меры!$B$2:$B$26,L8,Меры!$E$2:$E$26,"Предложение / проект")+COUNTIFS(Меры!$B$2:$B$26,M8,Меры!$E$2:$E$26,"Предложение / проект")</f>
        <v>1</v>
      </c>
      <c r="J8" s="2" t="s">
        <v>34</v>
      </c>
      <c r="K8" s="2" t="s">
        <v>48</v>
      </c>
      <c r="L8" s="2" t="s">
        <v>49</v>
      </c>
      <c r="M8" s="2" t="s">
        <v>20</v>
      </c>
    </row>
    <row r="9" customFormat="false" ht="23.85" hidden="false" customHeight="false" outlineLevel="0" collapsed="false">
      <c r="A9" s="2" t="n">
        <v>8</v>
      </c>
      <c r="B9" s="3" t="s">
        <v>50</v>
      </c>
      <c r="C9" s="2" t="s">
        <v>14</v>
      </c>
      <c r="D9" s="2" t="s">
        <v>51</v>
      </c>
      <c r="E9" s="2" t="s">
        <v>33</v>
      </c>
      <c r="F9" s="4" t="n">
        <f aca="false">COUNTIF(Меры!$B$2:$B$26,L9)+COUNTIF(Меры!$B$2:$B$26,M9)</f>
        <v>5</v>
      </c>
      <c r="G9" s="4" t="n">
        <f aca="false">COUNTIFS(Меры!$B$2:$B$26,L9,Меры!$E$2:$E$26,"Действует")+COUNTIFS(Меры!$B$2:$B$26,M9,Меры!$E$2:$E$26,"Действует")</f>
        <v>3</v>
      </c>
      <c r="H9" s="4" t="n">
        <f aca="false">COUNTIFS(Меры!$B$2:$B$26,L9,Меры!$E$2:$E$26,"Принято, вступает позже")+COUNTIFS(Меры!$B$2:$B$26,M9,Меры!$E$2:$E$26,"Принято, вступает позже")</f>
        <v>1</v>
      </c>
      <c r="I9" s="4" t="n">
        <f aca="false">COUNTIFS(Меры!$B$2:$B$26,L9,Меры!$E$2:$E$26,"Предложение / проект")+COUNTIFS(Меры!$B$2:$B$26,M9,Меры!$E$2:$E$26,"Предложение / проект")</f>
        <v>1</v>
      </c>
      <c r="J9" s="2" t="s">
        <v>34</v>
      </c>
      <c r="K9" s="2" t="s">
        <v>52</v>
      </c>
      <c r="L9" s="2" t="s">
        <v>53</v>
      </c>
      <c r="M9" s="2" t="s">
        <v>20</v>
      </c>
    </row>
    <row r="10" customFormat="false" ht="23.85" hidden="false" customHeight="false" outlineLevel="0" collapsed="false">
      <c r="A10" s="2" t="n">
        <v>9</v>
      </c>
      <c r="B10" s="3" t="s">
        <v>54</v>
      </c>
      <c r="C10" s="2" t="s">
        <v>14</v>
      </c>
      <c r="D10" s="2" t="s">
        <v>55</v>
      </c>
      <c r="E10" s="2" t="s">
        <v>33</v>
      </c>
      <c r="F10" s="4" t="n">
        <f aca="false">COUNTIF(Меры!$B$2:$B$26,L10)+COUNTIF(Меры!$B$2:$B$26,M10)</f>
        <v>5</v>
      </c>
      <c r="G10" s="4" t="n">
        <f aca="false">COUNTIFS(Меры!$B$2:$B$26,L10,Меры!$E$2:$E$26,"Действует")+COUNTIFS(Меры!$B$2:$B$26,M10,Меры!$E$2:$E$26,"Действует")</f>
        <v>3</v>
      </c>
      <c r="H10" s="4" t="n">
        <f aca="false">COUNTIFS(Меры!$B$2:$B$26,L10,Меры!$E$2:$E$26,"Принято, вступает позже")+COUNTIFS(Меры!$B$2:$B$26,M10,Меры!$E$2:$E$26,"Принято, вступает позже")</f>
        <v>1</v>
      </c>
      <c r="I10" s="4" t="n">
        <f aca="false">COUNTIFS(Меры!$B$2:$B$26,L10,Меры!$E$2:$E$26,"Предложение / проект")+COUNTIFS(Меры!$B$2:$B$26,M10,Меры!$E$2:$E$26,"Предложение / проект")</f>
        <v>1</v>
      </c>
      <c r="J10" s="2" t="s">
        <v>34</v>
      </c>
      <c r="K10" s="2" t="s">
        <v>56</v>
      </c>
      <c r="L10" s="2" t="s">
        <v>57</v>
      </c>
      <c r="M10" s="2" t="s">
        <v>20</v>
      </c>
    </row>
    <row r="11" customFormat="false" ht="23.85" hidden="false" customHeight="false" outlineLevel="0" collapsed="false">
      <c r="A11" s="2" t="n">
        <v>10</v>
      </c>
      <c r="B11" s="3" t="s">
        <v>58</v>
      </c>
      <c r="C11" s="2" t="s">
        <v>14</v>
      </c>
      <c r="D11" s="2" t="s">
        <v>59</v>
      </c>
      <c r="E11" s="2" t="s">
        <v>33</v>
      </c>
      <c r="F11" s="4" t="n">
        <f aca="false">COUNTIF(Меры!$B$2:$B$26,L11)+COUNTIF(Меры!$B$2:$B$26,M11)</f>
        <v>5</v>
      </c>
      <c r="G11" s="4" t="n">
        <f aca="false">COUNTIFS(Меры!$B$2:$B$26,L11,Меры!$E$2:$E$26,"Действует")+COUNTIFS(Меры!$B$2:$B$26,M11,Меры!$E$2:$E$26,"Действует")</f>
        <v>3</v>
      </c>
      <c r="H11" s="4" t="n">
        <f aca="false">COUNTIFS(Меры!$B$2:$B$26,L11,Меры!$E$2:$E$26,"Принято, вступает позже")+COUNTIFS(Меры!$B$2:$B$26,M11,Меры!$E$2:$E$26,"Принято, вступает позже")</f>
        <v>1</v>
      </c>
      <c r="I11" s="4" t="n">
        <f aca="false">COUNTIFS(Меры!$B$2:$B$26,L11,Меры!$E$2:$E$26,"Предложение / проект")+COUNTIFS(Меры!$B$2:$B$26,M11,Меры!$E$2:$E$26,"Предложение / проект")</f>
        <v>1</v>
      </c>
      <c r="J11" s="2" t="s">
        <v>34</v>
      </c>
      <c r="K11" s="2" t="s">
        <v>60</v>
      </c>
      <c r="L11" s="2" t="s">
        <v>61</v>
      </c>
      <c r="M11" s="2" t="s">
        <v>20</v>
      </c>
    </row>
    <row r="12" customFormat="false" ht="23.85" hidden="false" customHeight="false" outlineLevel="0" collapsed="false">
      <c r="A12" s="2" t="n">
        <v>11</v>
      </c>
      <c r="B12" s="3" t="s">
        <v>62</v>
      </c>
      <c r="C12" s="2" t="s">
        <v>63</v>
      </c>
      <c r="D12" s="2" t="s">
        <v>64</v>
      </c>
      <c r="E12" s="2" t="s">
        <v>43</v>
      </c>
      <c r="F12" s="4" t="n">
        <f aca="false">COUNTIF(Меры!$B$2:$B$26,L12)+COUNTIF(Меры!$B$2:$B$26,M12)</f>
        <v>4</v>
      </c>
      <c r="G12" s="4" t="n">
        <f aca="false">COUNTIFS(Меры!$B$2:$B$26,L12,Меры!$E$2:$E$26,"Действует")+COUNTIFS(Меры!$B$2:$B$26,M12,Меры!$E$2:$E$26,"Действует")</f>
        <v>3</v>
      </c>
      <c r="H12" s="4" t="n">
        <f aca="false">COUNTIFS(Меры!$B$2:$B$26,L12,Меры!$E$2:$E$26,"Принято, вступает позже")+COUNTIFS(Меры!$B$2:$B$26,M12,Меры!$E$2:$E$26,"Принято, вступает позже")</f>
        <v>0</v>
      </c>
      <c r="I12" s="4" t="n">
        <f aca="false">COUNTIFS(Меры!$B$2:$B$26,L12,Меры!$E$2:$E$26,"Предложение / проект")+COUNTIFS(Меры!$B$2:$B$26,M12,Меры!$E$2:$E$26,"Предложение / проект")</f>
        <v>1</v>
      </c>
      <c r="J12" s="2" t="s">
        <v>65</v>
      </c>
      <c r="K12" s="2" t="s">
        <v>66</v>
      </c>
      <c r="L12" s="2" t="s">
        <v>67</v>
      </c>
      <c r="M12" s="2" t="s">
        <v>68</v>
      </c>
    </row>
    <row r="13" customFormat="false" ht="23.85" hidden="false" customHeight="false" outlineLevel="0" collapsed="false">
      <c r="A13" s="2" t="n">
        <v>12</v>
      </c>
      <c r="B13" s="3" t="s">
        <v>69</v>
      </c>
      <c r="C13" s="2" t="s">
        <v>70</v>
      </c>
      <c r="D13" s="2" t="s">
        <v>38</v>
      </c>
      <c r="E13" s="2" t="s">
        <v>33</v>
      </c>
      <c r="F13" s="4" t="n">
        <f aca="false">COUNTIF(Меры!$B$2:$B$26,L13)+COUNTIF(Меры!$B$2:$B$26,M13)</f>
        <v>1</v>
      </c>
      <c r="G13" s="4" t="n">
        <f aca="false">COUNTIFS(Меры!$B$2:$B$26,L13,Меры!$E$2:$E$26,"Действует")+COUNTIFS(Меры!$B$2:$B$26,M13,Меры!$E$2:$E$26,"Действует")</f>
        <v>1</v>
      </c>
      <c r="H13" s="4" t="n">
        <f aca="false">COUNTIFS(Меры!$B$2:$B$26,L13,Меры!$E$2:$E$26,"Принято, вступает позже")+COUNTIFS(Меры!$B$2:$B$26,M13,Меры!$E$2:$E$26,"Принято, вступает позже")</f>
        <v>0</v>
      </c>
      <c r="I13" s="4" t="n">
        <f aca="false">COUNTIFS(Меры!$B$2:$B$26,L13,Меры!$E$2:$E$26,"Предложение / проект")+COUNTIFS(Меры!$B$2:$B$26,M13,Меры!$E$2:$E$26,"Предложение / проект")</f>
        <v>0</v>
      </c>
      <c r="J13" s="2" t="s">
        <v>71</v>
      </c>
      <c r="K13" s="2" t="s">
        <v>72</v>
      </c>
      <c r="L13" s="2" t="s">
        <v>73</v>
      </c>
      <c r="M13" s="2" t="s">
        <v>74</v>
      </c>
    </row>
    <row r="14" customFormat="false" ht="23.85" hidden="false" customHeight="false" outlineLevel="0" collapsed="false">
      <c r="A14" s="2" t="n">
        <v>13</v>
      </c>
      <c r="B14" s="3" t="s">
        <v>75</v>
      </c>
      <c r="C14" s="2" t="s">
        <v>70</v>
      </c>
      <c r="D14" s="2" t="s">
        <v>76</v>
      </c>
      <c r="E14" s="2" t="s">
        <v>27</v>
      </c>
      <c r="F14" s="4" t="n">
        <f aca="false">COUNTIF(Меры!$B$2:$B$26,L14)+COUNTIF(Меры!$B$2:$B$26,M14)</f>
        <v>2</v>
      </c>
      <c r="G14" s="4" t="n">
        <f aca="false">COUNTIFS(Меры!$B$2:$B$26,L14,Меры!$E$2:$E$26,"Действует")+COUNTIFS(Меры!$B$2:$B$26,M14,Меры!$E$2:$E$26,"Действует")</f>
        <v>2</v>
      </c>
      <c r="H14" s="4" t="n">
        <f aca="false">COUNTIFS(Меры!$B$2:$B$26,L14,Меры!$E$2:$E$26,"Принято, вступает позже")+COUNTIFS(Меры!$B$2:$B$26,M14,Меры!$E$2:$E$26,"Принято, вступает позже")</f>
        <v>0</v>
      </c>
      <c r="I14" s="4" t="n">
        <f aca="false">COUNTIFS(Меры!$B$2:$B$26,L14,Меры!$E$2:$E$26,"Предложение / проект")+COUNTIFS(Меры!$B$2:$B$26,M14,Меры!$E$2:$E$26,"Предложение / проект")</f>
        <v>0</v>
      </c>
      <c r="J14" s="2" t="s">
        <v>77</v>
      </c>
      <c r="K14" s="2" t="s">
        <v>78</v>
      </c>
      <c r="L14" s="2" t="s">
        <v>79</v>
      </c>
      <c r="M14" s="2" t="s">
        <v>74</v>
      </c>
    </row>
    <row r="15" customFormat="false" ht="35.05" hidden="false" customHeight="false" outlineLevel="0" collapsed="false">
      <c r="A15" s="2" t="n">
        <v>14</v>
      </c>
      <c r="B15" s="3" t="s">
        <v>80</v>
      </c>
      <c r="C15" s="2" t="s">
        <v>63</v>
      </c>
      <c r="D15" s="2" t="s">
        <v>64</v>
      </c>
      <c r="E15" s="2" t="s">
        <v>16</v>
      </c>
      <c r="F15" s="4" t="n">
        <f aca="false">COUNTIF(Меры!$B$2:$B$26,L15)+COUNTIF(Меры!$B$2:$B$26,M15)</f>
        <v>9</v>
      </c>
      <c r="G15" s="4" t="n">
        <f aca="false">COUNTIFS(Меры!$B$2:$B$26,L15,Меры!$E$2:$E$26,"Действует")+COUNTIFS(Меры!$B$2:$B$26,M15,Меры!$E$2:$E$26,"Действует")</f>
        <v>5</v>
      </c>
      <c r="H15" s="4" t="n">
        <f aca="false">COUNTIFS(Меры!$B$2:$B$26,L15,Меры!$E$2:$E$26,"Принято, вступает позже")+COUNTIFS(Меры!$B$2:$B$26,M15,Меры!$E$2:$E$26,"Принято, вступает позже")</f>
        <v>1</v>
      </c>
      <c r="I15" s="4" t="n">
        <f aca="false">COUNTIFS(Меры!$B$2:$B$26,L15,Меры!$E$2:$E$26,"Предложение / проект")+COUNTIFS(Меры!$B$2:$B$26,M15,Меры!$E$2:$E$26,"Предложение / проект")</f>
        <v>3</v>
      </c>
      <c r="J15" s="2" t="s">
        <v>81</v>
      </c>
      <c r="K15" s="2" t="s">
        <v>82</v>
      </c>
      <c r="L15" s="2" t="s">
        <v>83</v>
      </c>
      <c r="M15" s="2" t="s">
        <v>68</v>
      </c>
    </row>
    <row r="16" customFormat="false" ht="23.85" hidden="false" customHeight="false" outlineLevel="0" collapsed="false">
      <c r="A16" s="2" t="n">
        <v>15</v>
      </c>
      <c r="B16" s="3" t="s">
        <v>84</v>
      </c>
      <c r="C16" s="2" t="s">
        <v>63</v>
      </c>
      <c r="D16" s="2" t="s">
        <v>64</v>
      </c>
      <c r="E16" s="2" t="s">
        <v>33</v>
      </c>
      <c r="F16" s="4" t="n">
        <f aca="false">COUNTIF(Меры!$B$2:$B$26,L16)+COUNTIF(Меры!$B$2:$B$26,M16)</f>
        <v>6</v>
      </c>
      <c r="G16" s="4" t="n">
        <f aca="false">COUNTIFS(Меры!$B$2:$B$26,L16,Меры!$E$2:$E$26,"Действует")+COUNTIFS(Меры!$B$2:$B$26,M16,Меры!$E$2:$E$26,"Действует")</f>
        <v>3</v>
      </c>
      <c r="H16" s="4" t="n">
        <f aca="false">COUNTIFS(Меры!$B$2:$B$26,L16,Меры!$E$2:$E$26,"Принято, вступает позже")+COUNTIFS(Меры!$B$2:$B$26,M16,Меры!$E$2:$E$26,"Принято, вступает позже")</f>
        <v>1</v>
      </c>
      <c r="I16" s="4" t="n">
        <f aca="false">COUNTIFS(Меры!$B$2:$B$26,L16,Меры!$E$2:$E$26,"Предложение / проект")+COUNTIFS(Меры!$B$2:$B$26,M16,Меры!$E$2:$E$26,"Предложение / проект")</f>
        <v>2</v>
      </c>
      <c r="J16" s="2" t="s">
        <v>85</v>
      </c>
      <c r="K16" s="2" t="s">
        <v>86</v>
      </c>
      <c r="L16" s="2" t="s">
        <v>87</v>
      </c>
      <c r="M16" s="2" t="s">
        <v>68</v>
      </c>
    </row>
    <row r="17" customFormat="false" ht="23.85" hidden="false" customHeight="false" outlineLevel="0" collapsed="false">
      <c r="A17" s="2" t="n">
        <v>16</v>
      </c>
      <c r="B17" s="3" t="s">
        <v>88</v>
      </c>
      <c r="C17" s="2" t="s">
        <v>63</v>
      </c>
      <c r="D17" s="2" t="s">
        <v>64</v>
      </c>
      <c r="E17" s="2" t="s">
        <v>33</v>
      </c>
      <c r="F17" s="4" t="n">
        <f aca="false">COUNTIF(Меры!$B$2:$B$26,L17)+COUNTIF(Меры!$B$2:$B$26,M17)</f>
        <v>5</v>
      </c>
      <c r="G17" s="4" t="n">
        <f aca="false">COUNTIFS(Меры!$B$2:$B$26,L17,Меры!$E$2:$E$26,"Действует")+COUNTIFS(Меры!$B$2:$B$26,M17,Меры!$E$2:$E$26,"Действует")</f>
        <v>4</v>
      </c>
      <c r="H17" s="4" t="n">
        <f aca="false">COUNTIFS(Меры!$B$2:$B$26,L17,Меры!$E$2:$E$26,"Принято, вступает позже")+COUNTIFS(Меры!$B$2:$B$26,M17,Меры!$E$2:$E$26,"Принято, вступает позже")</f>
        <v>0</v>
      </c>
      <c r="I17" s="4" t="n">
        <f aca="false">COUNTIFS(Меры!$B$2:$B$26,L17,Меры!$E$2:$E$26,"Предложение / проект")+COUNTIFS(Меры!$B$2:$B$26,M17,Меры!$E$2:$E$26,"Предложение / проект")</f>
        <v>1</v>
      </c>
      <c r="J17" s="2" t="s">
        <v>89</v>
      </c>
      <c r="K17" s="2" t="s">
        <v>86</v>
      </c>
      <c r="L17" s="2" t="s">
        <v>90</v>
      </c>
      <c r="M17" s="2" t="s">
        <v>68</v>
      </c>
    </row>
    <row r="18" customFormat="false" ht="23.85" hidden="false" customHeight="false" outlineLevel="0" collapsed="false">
      <c r="A18" s="2" t="n">
        <v>17</v>
      </c>
      <c r="B18" s="3" t="s">
        <v>91</v>
      </c>
      <c r="C18" s="2" t="s">
        <v>70</v>
      </c>
      <c r="D18" s="2" t="s">
        <v>92</v>
      </c>
      <c r="E18" s="2" t="s">
        <v>93</v>
      </c>
      <c r="F18" s="4" t="n">
        <f aca="false">COUNTIF(Меры!$B$2:$B$26,L18)+COUNTIF(Меры!$B$2:$B$26,M18)</f>
        <v>1</v>
      </c>
      <c r="G18" s="4" t="n">
        <f aca="false">COUNTIFS(Меры!$B$2:$B$26,L18,Меры!$E$2:$E$26,"Действует")+COUNTIFS(Меры!$B$2:$B$26,M18,Меры!$E$2:$E$26,"Действует")</f>
        <v>1</v>
      </c>
      <c r="H18" s="4" t="n">
        <f aca="false">COUNTIFS(Меры!$B$2:$B$26,L18,Меры!$E$2:$E$26,"Принято, вступает позже")+COUNTIFS(Меры!$B$2:$B$26,M18,Меры!$E$2:$E$26,"Принято, вступает позже")</f>
        <v>0</v>
      </c>
      <c r="I18" s="4" t="n">
        <f aca="false">COUNTIFS(Меры!$B$2:$B$26,L18,Меры!$E$2:$E$26,"Предложение / проект")+COUNTIFS(Меры!$B$2:$B$26,M18,Меры!$E$2:$E$26,"Предложение / проект")</f>
        <v>0</v>
      </c>
      <c r="J18" s="2" t="s">
        <v>94</v>
      </c>
      <c r="K18" s="2" t="s">
        <v>95</v>
      </c>
      <c r="L18" s="2" t="s">
        <v>96</v>
      </c>
      <c r="M18" s="2" t="s">
        <v>74</v>
      </c>
    </row>
    <row r="19" customFormat="false" ht="23.85" hidden="false" customHeight="false" outlineLevel="0" collapsed="false">
      <c r="A19" s="2" t="n">
        <v>18</v>
      </c>
      <c r="B19" s="3" t="s">
        <v>97</v>
      </c>
      <c r="C19" s="2" t="s">
        <v>70</v>
      </c>
      <c r="D19" s="2" t="s">
        <v>92</v>
      </c>
      <c r="E19" s="2" t="s">
        <v>43</v>
      </c>
      <c r="F19" s="4" t="n">
        <f aca="false">COUNTIF(Меры!$B$2:$B$26,L19)+COUNTIF(Меры!$B$2:$B$26,M19)</f>
        <v>0</v>
      </c>
      <c r="G19" s="4" t="n">
        <f aca="false">COUNTIFS(Меры!$B$2:$B$26,L19,Меры!$E$2:$E$26,"Действует")+COUNTIFS(Меры!$B$2:$B$26,M19,Меры!$E$2:$E$26,"Действует")</f>
        <v>0</v>
      </c>
      <c r="H19" s="4" t="n">
        <f aca="false">COUNTIFS(Меры!$B$2:$B$26,L19,Меры!$E$2:$E$26,"Принято, вступает позже")+COUNTIFS(Меры!$B$2:$B$26,M19,Меры!$E$2:$E$26,"Принято, вступает позже")</f>
        <v>0</v>
      </c>
      <c r="I19" s="4" t="n">
        <f aca="false">COUNTIFS(Меры!$B$2:$B$26,L19,Меры!$E$2:$E$26,"Предложение / проект")+COUNTIFS(Меры!$B$2:$B$26,M19,Меры!$E$2:$E$26,"Предложение / проект")</f>
        <v>0</v>
      </c>
      <c r="J19" s="2" t="s">
        <v>98</v>
      </c>
      <c r="K19" s="2" t="s">
        <v>99</v>
      </c>
      <c r="L19" s="2" t="s">
        <v>100</v>
      </c>
      <c r="M19" s="2" t="s">
        <v>74</v>
      </c>
    </row>
    <row r="20" customFormat="false" ht="35.05" hidden="false" customHeight="false" outlineLevel="0" collapsed="false">
      <c r="A20" s="2" t="n">
        <v>19</v>
      </c>
      <c r="B20" s="3" t="s">
        <v>101</v>
      </c>
      <c r="C20" s="2" t="s">
        <v>70</v>
      </c>
      <c r="D20" s="2" t="s">
        <v>102</v>
      </c>
      <c r="E20" s="2" t="s">
        <v>33</v>
      </c>
      <c r="F20" s="4" t="n">
        <f aca="false">COUNTIF(Меры!$B$2:$B$26,L20)+COUNTIF(Меры!$B$2:$B$26,M20)</f>
        <v>3</v>
      </c>
      <c r="G20" s="4" t="n">
        <f aca="false">COUNTIFS(Меры!$B$2:$B$26,L20,Меры!$E$2:$E$26,"Действует")+COUNTIFS(Меры!$B$2:$B$26,M20,Меры!$E$2:$E$26,"Действует")</f>
        <v>1</v>
      </c>
      <c r="H20" s="4" t="n">
        <f aca="false">COUNTIFS(Меры!$B$2:$B$26,L20,Меры!$E$2:$E$26,"Принято, вступает позже")+COUNTIFS(Меры!$B$2:$B$26,M20,Меры!$E$2:$E$26,"Принято, вступает позже")</f>
        <v>1</v>
      </c>
      <c r="I20" s="4" t="n">
        <f aca="false">COUNTIFS(Меры!$B$2:$B$26,L20,Меры!$E$2:$E$26,"Предложение / проект")+COUNTIFS(Меры!$B$2:$B$26,M20,Меры!$E$2:$E$26,"Предложение / проект")</f>
        <v>1</v>
      </c>
      <c r="J20" s="2" t="s">
        <v>103</v>
      </c>
      <c r="K20" s="2" t="s">
        <v>104</v>
      </c>
      <c r="L20" s="2" t="s">
        <v>105</v>
      </c>
      <c r="M20" s="2" t="s">
        <v>74</v>
      </c>
    </row>
    <row r="21" customFormat="false" ht="23.85" hidden="false" customHeight="false" outlineLevel="0" collapsed="false">
      <c r="A21" s="2" t="n">
        <v>20</v>
      </c>
      <c r="B21" s="3" t="s">
        <v>106</v>
      </c>
      <c r="C21" s="2" t="s">
        <v>63</v>
      </c>
      <c r="D21" s="2" t="s">
        <v>64</v>
      </c>
      <c r="E21" s="2" t="s">
        <v>33</v>
      </c>
      <c r="F21" s="4" t="n">
        <f aca="false">COUNTIF(Меры!$B$2:$B$26,L21)+COUNTIF(Меры!$B$2:$B$26,M21)</f>
        <v>5</v>
      </c>
      <c r="G21" s="4" t="n">
        <f aca="false">COUNTIFS(Меры!$B$2:$B$26,L21,Меры!$E$2:$E$26,"Действует")+COUNTIFS(Меры!$B$2:$B$26,M21,Меры!$E$2:$E$26,"Действует")</f>
        <v>4</v>
      </c>
      <c r="H21" s="4" t="n">
        <f aca="false">COUNTIFS(Меры!$B$2:$B$26,L21,Меры!$E$2:$E$26,"Принято, вступает позже")+COUNTIFS(Меры!$B$2:$B$26,M21,Меры!$E$2:$E$26,"Принято, вступает позже")</f>
        <v>0</v>
      </c>
      <c r="I21" s="4" t="n">
        <f aca="false">COUNTIFS(Меры!$B$2:$B$26,L21,Меры!$E$2:$E$26,"Предложение / проект")+COUNTIFS(Меры!$B$2:$B$26,M21,Меры!$E$2:$E$26,"Предложение / проект")</f>
        <v>1</v>
      </c>
      <c r="J21" s="2" t="s">
        <v>107</v>
      </c>
      <c r="K21" s="2" t="s">
        <v>86</v>
      </c>
      <c r="L21" s="2" t="s">
        <v>108</v>
      </c>
      <c r="M21" s="2" t="s">
        <v>68</v>
      </c>
    </row>
    <row r="23" customFormat="false" ht="15" hidden="false" customHeight="false" outlineLevel="0" collapsed="false">
      <c r="B23" s="5" t="s">
        <v>109</v>
      </c>
      <c r="F23" s="5" t="n">
        <f aca="false">COUNTA(Меры!$A$2:$A$26)</f>
        <v>25</v>
      </c>
      <c r="G23" s="5" t="n">
        <f aca="false">COUNTIF(Меры!$E$2:$E$26,"Действует")</f>
        <v>15</v>
      </c>
      <c r="H23" s="5" t="n">
        <f aca="false">COUNTIF(Меры!$E$2:$E$26,"Принято, вступает позже")</f>
        <v>4</v>
      </c>
      <c r="I23" s="5" t="n">
        <f aca="false">COUNTIF(Меры!$E$2:$E$26,"Предложение / проект")</f>
        <v>6</v>
      </c>
    </row>
    <row r="24" customFormat="false" ht="15" hidden="false" customHeight="false" outlineLevel="0" collapsed="false">
      <c r="B24" s="6" t="s">
        <v>110</v>
      </c>
    </row>
  </sheetData>
  <autoFilter ref="A1:M21"/>
  <dataValidations count="1">
    <dataValidation allowBlank="true" errorStyle="stop" operator="between" showDropDown="false" showErrorMessage="false" showInputMessage="false" sqref="E2:E21" type="list">
      <formula1>"Высокая,Средняя,Низкая,Нет,Нет данных"</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0"/>
    <col collapsed="false" customWidth="true" hidden="false" outlineLevel="0" max="4" min="4" style="0" width="24"/>
    <col collapsed="false" customWidth="true" hidden="false" outlineLevel="0" max="5" min="5" style="0" width="17"/>
    <col collapsed="false" customWidth="true" hidden="false" outlineLevel="0" max="6" min="6" style="0" width="13"/>
    <col collapsed="false" customWidth="true" hidden="false" outlineLevel="0" max="8" min="7" style="0" width="34"/>
    <col collapsed="false" customWidth="true" hidden="false" outlineLevel="0" max="9" min="9" style="0" width="60"/>
    <col collapsed="false" customWidth="true" hidden="false" outlineLevel="0" max="10" min="10" style="0" width="34"/>
    <col collapsed="false" customWidth="true" hidden="false" outlineLevel="0" max="11" min="11" style="0" width="60"/>
    <col collapsed="false" customWidth="true" hidden="false" outlineLevel="0" max="12" min="12" style="0" width="40"/>
  </cols>
  <sheetData>
    <row r="1" customFormat="false" ht="31.5" hidden="false" customHeight="true" outlineLevel="0" collapsed="false">
      <c r="A1" s="1" t="s">
        <v>0</v>
      </c>
      <c r="B1" s="1" t="s">
        <v>111</v>
      </c>
      <c r="C1" s="1" t="s">
        <v>112</v>
      </c>
      <c r="D1" s="1" t="s">
        <v>113</v>
      </c>
      <c r="E1" s="1" t="s">
        <v>114</v>
      </c>
      <c r="F1" s="1" t="s">
        <v>115</v>
      </c>
      <c r="G1" s="1" t="s">
        <v>116</v>
      </c>
      <c r="H1" s="1" t="s">
        <v>117</v>
      </c>
      <c r="I1" s="1" t="s">
        <v>118</v>
      </c>
      <c r="J1" s="1" t="s">
        <v>119</v>
      </c>
      <c r="K1" s="1" t="s">
        <v>120</v>
      </c>
      <c r="L1" s="1" t="s">
        <v>121</v>
      </c>
    </row>
    <row r="2" customFormat="false" ht="46.25" hidden="false" customHeight="false" outlineLevel="0" collapsed="false">
      <c r="A2" s="2" t="n">
        <v>1</v>
      </c>
      <c r="B2" s="2" t="s">
        <v>20</v>
      </c>
      <c r="C2" s="2" t="s">
        <v>122</v>
      </c>
      <c r="D2" s="2" t="s">
        <v>123</v>
      </c>
      <c r="E2" s="7" t="s">
        <v>124</v>
      </c>
      <c r="F2" s="2" t="s">
        <v>125</v>
      </c>
      <c r="G2" s="2" t="s">
        <v>126</v>
      </c>
      <c r="H2" s="3" t="s">
        <v>127</v>
      </c>
      <c r="I2" s="2" t="s">
        <v>128</v>
      </c>
      <c r="J2" s="2" t="s">
        <v>129</v>
      </c>
      <c r="K2" s="2" t="s">
        <v>130</v>
      </c>
      <c r="L2" s="8" t="s">
        <v>131</v>
      </c>
    </row>
    <row r="3" customFormat="false" ht="35.05" hidden="false" customHeight="false" outlineLevel="0" collapsed="false">
      <c r="A3" s="2" t="n">
        <v>2</v>
      </c>
      <c r="B3" s="2" t="s">
        <v>20</v>
      </c>
      <c r="C3" s="2" t="s">
        <v>122</v>
      </c>
      <c r="D3" s="2" t="s">
        <v>132</v>
      </c>
      <c r="E3" s="7" t="s">
        <v>124</v>
      </c>
      <c r="F3" s="2" t="s">
        <v>133</v>
      </c>
      <c r="G3" s="2" t="s">
        <v>134</v>
      </c>
      <c r="H3" s="3" t="s">
        <v>135</v>
      </c>
      <c r="I3" s="2" t="s">
        <v>136</v>
      </c>
      <c r="J3" s="2" t="s">
        <v>137</v>
      </c>
      <c r="K3" s="2" t="s">
        <v>138</v>
      </c>
      <c r="L3" s="8" t="s">
        <v>139</v>
      </c>
    </row>
    <row r="4" customFormat="false" ht="57.45" hidden="false" customHeight="false" outlineLevel="0" collapsed="false">
      <c r="A4" s="2" t="n">
        <v>3</v>
      </c>
      <c r="B4" s="2" t="s">
        <v>20</v>
      </c>
      <c r="C4" s="2" t="s">
        <v>122</v>
      </c>
      <c r="D4" s="2" t="s">
        <v>132</v>
      </c>
      <c r="E4" s="7" t="s">
        <v>124</v>
      </c>
      <c r="F4" s="2" t="s">
        <v>140</v>
      </c>
      <c r="G4" s="2" t="s">
        <v>141</v>
      </c>
      <c r="H4" s="3" t="s">
        <v>142</v>
      </c>
      <c r="I4" s="2" t="s">
        <v>143</v>
      </c>
      <c r="J4" s="2" t="s">
        <v>144</v>
      </c>
      <c r="K4" s="2" t="s">
        <v>145</v>
      </c>
      <c r="L4" s="8" t="s">
        <v>146</v>
      </c>
    </row>
    <row r="5" customFormat="false" ht="35.05" hidden="false" customHeight="false" outlineLevel="0" collapsed="false">
      <c r="A5" s="2" t="n">
        <v>4</v>
      </c>
      <c r="B5" s="2" t="s">
        <v>20</v>
      </c>
      <c r="C5" s="2" t="s">
        <v>122</v>
      </c>
      <c r="D5" s="2" t="s">
        <v>147</v>
      </c>
      <c r="E5" s="9" t="s">
        <v>148</v>
      </c>
      <c r="F5" s="2" t="s">
        <v>149</v>
      </c>
      <c r="G5" s="2" t="s">
        <v>150</v>
      </c>
      <c r="H5" s="3" t="s">
        <v>151</v>
      </c>
      <c r="I5" s="2" t="s">
        <v>152</v>
      </c>
      <c r="J5" s="2" t="s">
        <v>153</v>
      </c>
      <c r="K5" s="2" t="s">
        <v>154</v>
      </c>
      <c r="L5" s="8" t="s">
        <v>155</v>
      </c>
    </row>
    <row r="6" customFormat="false" ht="23.85" hidden="false" customHeight="false" outlineLevel="0" collapsed="false">
      <c r="A6" s="2" t="n">
        <v>5</v>
      </c>
      <c r="B6" s="2" t="s">
        <v>20</v>
      </c>
      <c r="C6" s="2" t="s">
        <v>122</v>
      </c>
      <c r="D6" s="2" t="s">
        <v>147</v>
      </c>
      <c r="E6" s="10" t="s">
        <v>156</v>
      </c>
      <c r="F6" s="2" t="s">
        <v>157</v>
      </c>
      <c r="G6" s="2" t="s">
        <v>158</v>
      </c>
      <c r="H6" s="3" t="s">
        <v>159</v>
      </c>
      <c r="I6" s="2" t="s">
        <v>160</v>
      </c>
      <c r="J6" s="2" t="s">
        <v>161</v>
      </c>
      <c r="K6" s="2" t="s">
        <v>162</v>
      </c>
      <c r="L6" s="8" t="s">
        <v>163</v>
      </c>
    </row>
    <row r="7" customFormat="false" ht="35.05" hidden="false" customHeight="false" outlineLevel="0" collapsed="false">
      <c r="A7" s="2" t="n">
        <v>6</v>
      </c>
      <c r="B7" s="2" t="s">
        <v>68</v>
      </c>
      <c r="C7" s="2" t="s">
        <v>164</v>
      </c>
      <c r="D7" s="2" t="s">
        <v>123</v>
      </c>
      <c r="E7" s="7" t="s">
        <v>124</v>
      </c>
      <c r="F7" s="2" t="s">
        <v>165</v>
      </c>
      <c r="G7" s="2" t="s">
        <v>166</v>
      </c>
      <c r="H7" s="3" t="s">
        <v>167</v>
      </c>
      <c r="I7" s="2" t="s">
        <v>168</v>
      </c>
      <c r="J7" s="2" t="s">
        <v>169</v>
      </c>
      <c r="K7" s="2" t="s">
        <v>170</v>
      </c>
      <c r="L7" s="8" t="s">
        <v>171</v>
      </c>
    </row>
    <row r="8" customFormat="false" ht="35.05" hidden="false" customHeight="false" outlineLevel="0" collapsed="false">
      <c r="A8" s="2" t="n">
        <v>7</v>
      </c>
      <c r="B8" s="2" t="s">
        <v>68</v>
      </c>
      <c r="C8" s="2" t="s">
        <v>164</v>
      </c>
      <c r="D8" s="2" t="s">
        <v>123</v>
      </c>
      <c r="E8" s="10" t="s">
        <v>156</v>
      </c>
      <c r="F8" s="2" t="s">
        <v>92</v>
      </c>
      <c r="G8" s="2" t="s">
        <v>172</v>
      </c>
      <c r="H8" s="3" t="s">
        <v>127</v>
      </c>
      <c r="I8" s="2" t="s">
        <v>173</v>
      </c>
      <c r="J8" s="2" t="s">
        <v>174</v>
      </c>
      <c r="K8" s="2" t="s">
        <v>175</v>
      </c>
      <c r="L8" s="8" t="s">
        <v>176</v>
      </c>
    </row>
    <row r="9" customFormat="false" ht="35.05" hidden="false" customHeight="false" outlineLevel="0" collapsed="false">
      <c r="A9" s="2" t="n">
        <v>8</v>
      </c>
      <c r="B9" s="2" t="s">
        <v>68</v>
      </c>
      <c r="C9" s="2" t="s">
        <v>164</v>
      </c>
      <c r="D9" s="2" t="s">
        <v>177</v>
      </c>
      <c r="E9" s="7" t="s">
        <v>124</v>
      </c>
      <c r="F9" s="2" t="s">
        <v>178</v>
      </c>
      <c r="G9" s="2" t="s">
        <v>179</v>
      </c>
      <c r="H9" s="3" t="s">
        <v>180</v>
      </c>
      <c r="I9" s="2" t="s">
        <v>181</v>
      </c>
      <c r="J9" s="2" t="s">
        <v>182</v>
      </c>
      <c r="K9" s="2" t="s">
        <v>183</v>
      </c>
      <c r="L9" s="8" t="s">
        <v>184</v>
      </c>
    </row>
    <row r="10" customFormat="false" ht="46.25" hidden="false" customHeight="false" outlineLevel="0" collapsed="false">
      <c r="A10" s="2" t="n">
        <v>9</v>
      </c>
      <c r="B10" s="2" t="s">
        <v>68</v>
      </c>
      <c r="C10" s="2" t="s">
        <v>164</v>
      </c>
      <c r="D10" s="2" t="s">
        <v>185</v>
      </c>
      <c r="E10" s="7" t="s">
        <v>124</v>
      </c>
      <c r="F10" s="2" t="s">
        <v>92</v>
      </c>
      <c r="G10" s="2" t="s">
        <v>186</v>
      </c>
      <c r="H10" s="3" t="s">
        <v>187</v>
      </c>
      <c r="I10" s="2" t="s">
        <v>188</v>
      </c>
      <c r="J10" s="2" t="s">
        <v>189</v>
      </c>
      <c r="K10" s="2" t="s">
        <v>190</v>
      </c>
      <c r="L10" s="2" t="s">
        <v>92</v>
      </c>
    </row>
    <row r="11" customFormat="false" ht="57.45" hidden="false" customHeight="false" outlineLevel="0" collapsed="false">
      <c r="A11" s="2" t="n">
        <v>10</v>
      </c>
      <c r="B11" s="2" t="s">
        <v>79</v>
      </c>
      <c r="C11" s="2" t="s">
        <v>75</v>
      </c>
      <c r="D11" s="2" t="s">
        <v>191</v>
      </c>
      <c r="E11" s="7" t="s">
        <v>124</v>
      </c>
      <c r="F11" s="2" t="s">
        <v>192</v>
      </c>
      <c r="G11" s="2" t="s">
        <v>193</v>
      </c>
      <c r="H11" s="3" t="s">
        <v>194</v>
      </c>
      <c r="I11" s="2" t="s">
        <v>195</v>
      </c>
      <c r="J11" s="2" t="s">
        <v>196</v>
      </c>
      <c r="K11" s="2" t="s">
        <v>197</v>
      </c>
      <c r="L11" s="8" t="s">
        <v>198</v>
      </c>
    </row>
    <row r="12" customFormat="false" ht="46.25" hidden="false" customHeight="false" outlineLevel="0" collapsed="false">
      <c r="A12" s="2" t="n">
        <v>11</v>
      </c>
      <c r="B12" s="2" t="s">
        <v>79</v>
      </c>
      <c r="C12" s="2" t="s">
        <v>75</v>
      </c>
      <c r="D12" s="2" t="s">
        <v>123</v>
      </c>
      <c r="E12" s="7" t="s">
        <v>124</v>
      </c>
      <c r="F12" s="2" t="s">
        <v>192</v>
      </c>
      <c r="G12" s="2" t="s">
        <v>199</v>
      </c>
      <c r="H12" s="3" t="s">
        <v>200</v>
      </c>
      <c r="I12" s="2" t="s">
        <v>201</v>
      </c>
      <c r="J12" s="2" t="s">
        <v>202</v>
      </c>
      <c r="K12" s="2" t="s">
        <v>203</v>
      </c>
      <c r="L12" s="8" t="s">
        <v>204</v>
      </c>
    </row>
    <row r="13" customFormat="false" ht="23.85" hidden="false" customHeight="false" outlineLevel="0" collapsed="false">
      <c r="A13" s="2" t="n">
        <v>12</v>
      </c>
      <c r="B13" s="2" t="s">
        <v>73</v>
      </c>
      <c r="C13" s="2" t="s">
        <v>69</v>
      </c>
      <c r="D13" s="2" t="s">
        <v>205</v>
      </c>
      <c r="E13" s="7" t="s">
        <v>124</v>
      </c>
      <c r="F13" s="2" t="s">
        <v>206</v>
      </c>
      <c r="G13" s="2" t="s">
        <v>207</v>
      </c>
      <c r="H13" s="3" t="s">
        <v>208</v>
      </c>
      <c r="I13" s="2" t="s">
        <v>209</v>
      </c>
      <c r="J13" s="2" t="s">
        <v>210</v>
      </c>
      <c r="K13" s="2" t="s">
        <v>211</v>
      </c>
      <c r="L13" s="8" t="s">
        <v>212</v>
      </c>
    </row>
    <row r="14" customFormat="false" ht="35.05" hidden="false" customHeight="false" outlineLevel="0" collapsed="false">
      <c r="A14" s="2" t="n">
        <v>13</v>
      </c>
      <c r="B14" s="2" t="s">
        <v>83</v>
      </c>
      <c r="C14" s="2" t="s">
        <v>80</v>
      </c>
      <c r="D14" s="2" t="s">
        <v>177</v>
      </c>
      <c r="E14" s="7" t="s">
        <v>124</v>
      </c>
      <c r="F14" s="2" t="s">
        <v>213</v>
      </c>
      <c r="G14" s="2" t="s">
        <v>214</v>
      </c>
      <c r="H14" s="3" t="s">
        <v>215</v>
      </c>
      <c r="I14" s="2" t="s">
        <v>216</v>
      </c>
      <c r="J14" s="2" t="s">
        <v>217</v>
      </c>
      <c r="K14" s="2" t="s">
        <v>218</v>
      </c>
      <c r="L14" s="8" t="s">
        <v>219</v>
      </c>
    </row>
    <row r="15" customFormat="false" ht="35.05" hidden="false" customHeight="false" outlineLevel="0" collapsed="false">
      <c r="A15" s="2" t="n">
        <v>14</v>
      </c>
      <c r="B15" s="2" t="s">
        <v>83</v>
      </c>
      <c r="C15" s="2" t="s">
        <v>80</v>
      </c>
      <c r="D15" s="2" t="s">
        <v>220</v>
      </c>
      <c r="E15" s="9" t="s">
        <v>148</v>
      </c>
      <c r="F15" s="2" t="s">
        <v>221</v>
      </c>
      <c r="G15" s="2" t="s">
        <v>222</v>
      </c>
      <c r="H15" s="3" t="s">
        <v>223</v>
      </c>
      <c r="I15" s="2" t="s">
        <v>224</v>
      </c>
      <c r="J15" s="2" t="s">
        <v>225</v>
      </c>
      <c r="K15" s="2" t="s">
        <v>226</v>
      </c>
      <c r="L15" s="8" t="s">
        <v>227</v>
      </c>
    </row>
    <row r="16" customFormat="false" ht="35.05" hidden="false" customHeight="false" outlineLevel="0" collapsed="false">
      <c r="A16" s="2" t="n">
        <v>15</v>
      </c>
      <c r="B16" s="2" t="s">
        <v>83</v>
      </c>
      <c r="C16" s="2" t="s">
        <v>80</v>
      </c>
      <c r="D16" s="2" t="s">
        <v>185</v>
      </c>
      <c r="E16" s="7" t="s">
        <v>124</v>
      </c>
      <c r="F16" s="2" t="s">
        <v>228</v>
      </c>
      <c r="G16" s="2" t="s">
        <v>229</v>
      </c>
      <c r="H16" s="3" t="s">
        <v>230</v>
      </c>
      <c r="I16" s="2" t="s">
        <v>231</v>
      </c>
      <c r="J16" s="2" t="s">
        <v>232</v>
      </c>
      <c r="K16" s="2" t="s">
        <v>233</v>
      </c>
      <c r="L16" s="8" t="s">
        <v>234</v>
      </c>
    </row>
    <row r="17" customFormat="false" ht="46.25" hidden="false" customHeight="false" outlineLevel="0" collapsed="false">
      <c r="A17" s="2" t="n">
        <v>16</v>
      </c>
      <c r="B17" s="2" t="s">
        <v>83</v>
      </c>
      <c r="C17" s="2" t="s">
        <v>80</v>
      </c>
      <c r="D17" s="2" t="s">
        <v>191</v>
      </c>
      <c r="E17" s="10" t="s">
        <v>156</v>
      </c>
      <c r="F17" s="2" t="s">
        <v>235</v>
      </c>
      <c r="G17" s="2" t="s">
        <v>236</v>
      </c>
      <c r="H17" s="3" t="s">
        <v>237</v>
      </c>
      <c r="I17" s="2" t="s">
        <v>238</v>
      </c>
      <c r="J17" s="2" t="s">
        <v>239</v>
      </c>
      <c r="K17" s="2" t="s">
        <v>240</v>
      </c>
      <c r="L17" s="8" t="s">
        <v>241</v>
      </c>
    </row>
    <row r="18" customFormat="false" ht="23.85" hidden="false" customHeight="false" outlineLevel="0" collapsed="false">
      <c r="A18" s="2" t="n">
        <v>17</v>
      </c>
      <c r="B18" s="2" t="s">
        <v>83</v>
      </c>
      <c r="C18" s="2" t="s">
        <v>80</v>
      </c>
      <c r="D18" s="2" t="s">
        <v>123</v>
      </c>
      <c r="E18" s="10" t="s">
        <v>156</v>
      </c>
      <c r="F18" s="2" t="s">
        <v>242</v>
      </c>
      <c r="G18" s="2" t="s">
        <v>243</v>
      </c>
      <c r="H18" s="3" t="s">
        <v>244</v>
      </c>
      <c r="I18" s="2" t="s">
        <v>245</v>
      </c>
      <c r="J18" s="2" t="s">
        <v>246</v>
      </c>
      <c r="K18" s="2" t="s">
        <v>247</v>
      </c>
      <c r="L18" s="8" t="s">
        <v>248</v>
      </c>
    </row>
    <row r="19" customFormat="false" ht="35.05" hidden="false" customHeight="false" outlineLevel="0" collapsed="false">
      <c r="A19" s="2" t="n">
        <v>18</v>
      </c>
      <c r="B19" s="2" t="s">
        <v>87</v>
      </c>
      <c r="C19" s="2" t="s">
        <v>84</v>
      </c>
      <c r="D19" s="2" t="s">
        <v>220</v>
      </c>
      <c r="E19" s="9" t="s">
        <v>148</v>
      </c>
      <c r="F19" s="2" t="s">
        <v>249</v>
      </c>
      <c r="G19" s="2" t="s">
        <v>250</v>
      </c>
      <c r="H19" s="3" t="s">
        <v>251</v>
      </c>
      <c r="I19" s="2" t="s">
        <v>252</v>
      </c>
      <c r="J19" s="2" t="s">
        <v>253</v>
      </c>
      <c r="K19" s="2" t="s">
        <v>254</v>
      </c>
      <c r="L19" s="8" t="s">
        <v>255</v>
      </c>
    </row>
    <row r="20" customFormat="false" ht="23.85" hidden="false" customHeight="false" outlineLevel="0" collapsed="false">
      <c r="A20" s="2" t="n">
        <v>19</v>
      </c>
      <c r="B20" s="2" t="s">
        <v>87</v>
      </c>
      <c r="C20" s="2" t="s">
        <v>84</v>
      </c>
      <c r="D20" s="2" t="s">
        <v>123</v>
      </c>
      <c r="E20" s="10" t="s">
        <v>156</v>
      </c>
      <c r="F20" s="2" t="s">
        <v>92</v>
      </c>
      <c r="G20" s="2" t="s">
        <v>256</v>
      </c>
      <c r="H20" s="3" t="s">
        <v>257</v>
      </c>
      <c r="I20" s="2" t="s">
        <v>258</v>
      </c>
      <c r="J20" s="2" t="s">
        <v>259</v>
      </c>
      <c r="K20" s="2" t="s">
        <v>260</v>
      </c>
      <c r="L20" s="8" t="s">
        <v>261</v>
      </c>
    </row>
    <row r="21" customFormat="false" ht="35.05" hidden="false" customHeight="false" outlineLevel="0" collapsed="false">
      <c r="A21" s="2" t="n">
        <v>20</v>
      </c>
      <c r="B21" s="2" t="s">
        <v>90</v>
      </c>
      <c r="C21" s="2" t="s">
        <v>88</v>
      </c>
      <c r="D21" s="2" t="s">
        <v>185</v>
      </c>
      <c r="E21" s="7" t="s">
        <v>124</v>
      </c>
      <c r="F21" s="2" t="s">
        <v>92</v>
      </c>
      <c r="G21" s="2" t="s">
        <v>262</v>
      </c>
      <c r="H21" s="3" t="s">
        <v>263</v>
      </c>
      <c r="I21" s="2" t="s">
        <v>264</v>
      </c>
      <c r="J21" s="2" t="s">
        <v>265</v>
      </c>
      <c r="K21" s="2" t="s">
        <v>266</v>
      </c>
      <c r="L21" s="8" t="s">
        <v>267</v>
      </c>
    </row>
    <row r="22" customFormat="false" ht="23.85" hidden="false" customHeight="false" outlineLevel="0" collapsed="false">
      <c r="A22" s="2" t="n">
        <v>21</v>
      </c>
      <c r="B22" s="2" t="s">
        <v>96</v>
      </c>
      <c r="C22" s="2" t="s">
        <v>91</v>
      </c>
      <c r="D22" s="2" t="s">
        <v>205</v>
      </c>
      <c r="E22" s="7" t="s">
        <v>124</v>
      </c>
      <c r="F22" s="2" t="s">
        <v>268</v>
      </c>
      <c r="G22" s="2" t="s">
        <v>269</v>
      </c>
      <c r="H22" s="3" t="s">
        <v>270</v>
      </c>
      <c r="I22" s="2" t="s">
        <v>271</v>
      </c>
      <c r="J22" s="2" t="s">
        <v>272</v>
      </c>
      <c r="K22" s="2" t="s">
        <v>273</v>
      </c>
      <c r="L22" s="8" t="s">
        <v>274</v>
      </c>
    </row>
    <row r="23" customFormat="false" ht="57.45" hidden="false" customHeight="false" outlineLevel="0" collapsed="false">
      <c r="A23" s="2" t="n">
        <v>22</v>
      </c>
      <c r="B23" s="2" t="s">
        <v>105</v>
      </c>
      <c r="C23" s="2" t="s">
        <v>101</v>
      </c>
      <c r="D23" s="2" t="s">
        <v>205</v>
      </c>
      <c r="E23" s="7" t="s">
        <v>124</v>
      </c>
      <c r="F23" s="2" t="s">
        <v>275</v>
      </c>
      <c r="G23" s="2" t="s">
        <v>276</v>
      </c>
      <c r="H23" s="3" t="s">
        <v>277</v>
      </c>
      <c r="I23" s="2" t="s">
        <v>278</v>
      </c>
      <c r="J23" s="2" t="s">
        <v>279</v>
      </c>
      <c r="K23" s="2" t="s">
        <v>280</v>
      </c>
      <c r="L23" s="8" t="s">
        <v>281</v>
      </c>
    </row>
    <row r="24" customFormat="false" ht="23.85" hidden="false" customHeight="false" outlineLevel="0" collapsed="false">
      <c r="A24" s="2" t="n">
        <v>23</v>
      </c>
      <c r="B24" s="2" t="s">
        <v>105</v>
      </c>
      <c r="C24" s="2" t="s">
        <v>101</v>
      </c>
      <c r="D24" s="2" t="s">
        <v>282</v>
      </c>
      <c r="E24" s="10" t="s">
        <v>156</v>
      </c>
      <c r="F24" s="2" t="s">
        <v>283</v>
      </c>
      <c r="G24" s="2" t="s">
        <v>284</v>
      </c>
      <c r="H24" s="3" t="s">
        <v>285</v>
      </c>
      <c r="I24" s="2" t="s">
        <v>286</v>
      </c>
      <c r="J24" s="2" t="s">
        <v>287</v>
      </c>
      <c r="K24" s="2" t="s">
        <v>288</v>
      </c>
      <c r="L24" s="8" t="s">
        <v>289</v>
      </c>
    </row>
    <row r="25" customFormat="false" ht="35.05" hidden="false" customHeight="false" outlineLevel="0" collapsed="false">
      <c r="A25" s="2" t="n">
        <v>24</v>
      </c>
      <c r="B25" s="2" t="s">
        <v>105</v>
      </c>
      <c r="C25" s="2" t="s">
        <v>101</v>
      </c>
      <c r="D25" s="2" t="s">
        <v>220</v>
      </c>
      <c r="E25" s="9" t="s">
        <v>148</v>
      </c>
      <c r="F25" s="2" t="s">
        <v>290</v>
      </c>
      <c r="G25" s="2" t="s">
        <v>291</v>
      </c>
      <c r="H25" s="3" t="s">
        <v>292</v>
      </c>
      <c r="I25" s="2" t="s">
        <v>293</v>
      </c>
      <c r="J25" s="2" t="s">
        <v>294</v>
      </c>
      <c r="K25" s="2" t="s">
        <v>295</v>
      </c>
      <c r="L25" s="8" t="s">
        <v>296</v>
      </c>
    </row>
    <row r="26" customFormat="false" ht="23.85" hidden="false" customHeight="false" outlineLevel="0" collapsed="false">
      <c r="A26" s="2" t="n">
        <v>25</v>
      </c>
      <c r="B26" s="2" t="s">
        <v>108</v>
      </c>
      <c r="C26" s="2" t="s">
        <v>106</v>
      </c>
      <c r="D26" s="2" t="s">
        <v>185</v>
      </c>
      <c r="E26" s="7" t="s">
        <v>124</v>
      </c>
      <c r="F26" s="2" t="s">
        <v>297</v>
      </c>
      <c r="G26" s="2" t="s">
        <v>298</v>
      </c>
      <c r="H26" s="3" t="s">
        <v>299</v>
      </c>
      <c r="I26" s="2" t="s">
        <v>300</v>
      </c>
      <c r="J26" s="2" t="s">
        <v>301</v>
      </c>
      <c r="K26" s="2" t="s">
        <v>302</v>
      </c>
      <c r="L26" s="8" t="s">
        <v>303</v>
      </c>
    </row>
  </sheetData>
  <autoFilter ref="A1:L26"/>
  <hyperlinks>
    <hyperlink ref="L2" r:id="rId1" display="https://eur-lex.europa.eu/eli/reg/2011/1169/oj"/>
    <hyperlink ref="L3" r:id="rId2" display="https://eur-lex.europa.eu/eli/dir/2019/2161/oj"/>
    <hyperlink ref="L4" r:id="rId3" display="https://eur-lex.europa.eu/eli/dir/2024/825/oj"/>
    <hyperlink ref="L5" r:id="rId4" display="https://vinciworks.com/blog/eudr-delayed-again-what-changed-what-is-now-fixed-and-what-businesses-should-do-in-2026/"/>
    <hyperlink ref="L6" r:id="rId5" display="https://blog.foodsconnected.com/7-key-takeaways-from-the-april-2026-eudr-review"/>
    <hyperlink ref="L7" r:id="rId6" display="https://eec.eaeunion.org/comission/department/deptexreg/tr/PischevkaMarkirovka.php"/>
    <hyperlink ref="L8" r:id="rId7" display="https://nkprom.ru/news/v-tr-ts-022-2011-pishchevaya-produktsiya-v-chasti-ee-markirovki-i-tr-ts-022-2011-o-bezopasnosti-sred/"/>
    <hyperlink ref="L9" r:id="rId8" display="https://foodsmi.com/zakonodatelstvo/izmeneniya-v-tekhreglamente-na-maslozhirovuyu-produktsiyu/"/>
    <hyperlink ref="L11" r:id="rId9" display="https://biz.ligazakon.net/news/231710_prezident-pdpisav-zakon-pro-obmezhennya-vikoristannya-palmovo-ol-u-produktakh-kharchuvannya"/>
    <hyperlink ref="L12" r:id="rId10" display="https://ngu.com.ua/palmova-oliia-shkoda-sklad-doza-i-etyketka/"/>
    <hyperlink ref="L13" r:id="rId11" display="https://ansa.gov.md/sites/default/files/documents/Ordine/Ordin%20nr.%20369.pdf"/>
    <hyperlink ref="L14" r:id="rId12" display="https://www.retail.ru/news/v-rossii-poyavilsya-edinyy-katalog-produktov-bez-palmy-23-dekabrya-2025-272975/"/>
    <hyperlink ref="L15" r:id="rId13" display="https://www.klerk.ru/buh/articles/713288/"/>
    <hyperlink ref="L16" r:id="rId14" display="https://www.gazeta.ru/business/2019/07/01/12467725.shtml"/>
    <hyperlink ref="L17" r:id="rId15" display="https://oleoscope.com/analytics/gosduma-predlozhila-markirovku-dlja-masla/"/>
    <hyperlink ref="L18" r:id="rId16" display="https://ria.ru/20260722/markirovka-2106133235.html"/>
    <hyperlink ref="L19" r:id="rId17" display="https://inbusiness.kz/ru/news/v-kazahstane-pochti-vdvoe-rasshirili-markirovku-tovarov"/>
    <hyperlink ref="L20" r:id="rId18" display="https://kapital.kz/business/134274/maslopererabotchiki-rk-vystupayut-za-ukazaniye-nalichiya-v-produktakh-pal-movogo-masla.html"/>
    <hyperlink ref="L21" r:id="rId19" display="https://dairynews.today/kz/news/v-kyrgyzstane-obsuzhdayut-ispolzovanie-palmovogo-masla-v-proizvodstve-moloka.html"/>
    <hyperlink ref="L22" r:id="rId20" display="https://base.spinform.ru/show_doc.fwx?rgn=124770"/>
    <hyperlink ref="L23" r:id="rId21" display="https://podrobno.uz/cat/obchestvo/v-uzbekistane-vvodyat-obyazatelnyy-laboratornyy-kontrol-palmovogo-masla-i-transzhirov/"/>
    <hyperlink ref="L24" r:id="rId22" display="https://www.spot.uz/ru/2026/07/30/palm-oil"/>
    <hyperlink ref="L25" r:id="rId23" display="https://vzglyad.uz/2026/10/09/obsuzhdenie-poryadka-markirovki-rastitelnogo-masla"/>
    <hyperlink ref="L26" r:id="rId24" display="https://dairynews.today/kz/news/armenia-to-enforce-stricter-labeling-rules-for-dairy-and-meat-products.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s>
  <sheetData>
    <row r="1" customFormat="false" ht="16.15" hidden="false" customHeight="false" outlineLevel="0" collapsed="false">
      <c r="A1" s="11" t="s">
        <v>304</v>
      </c>
      <c r="B1" s="12"/>
    </row>
    <row r="2" customFormat="false" ht="15" hidden="false" customHeight="false" outlineLevel="0" collapsed="false">
      <c r="A2" s="5" t="s">
        <v>305</v>
      </c>
      <c r="B2" s="12" t="s">
        <v>306</v>
      </c>
    </row>
    <row r="3" customFormat="false" ht="15" hidden="false" customHeight="false" outlineLevel="0" collapsed="false">
      <c r="A3" s="5" t="s">
        <v>307</v>
      </c>
      <c r="B3" s="12" t="s">
        <v>308</v>
      </c>
    </row>
    <row r="4" customFormat="false" ht="15" hidden="false" customHeight="false" outlineLevel="0" collapsed="false">
      <c r="A4" s="5" t="s">
        <v>309</v>
      </c>
      <c r="B4" s="12" t="s">
        <v>310</v>
      </c>
    </row>
    <row r="5" customFormat="false" ht="15" hidden="false" customHeight="false" outlineLevel="0" collapsed="false">
      <c r="A5" s="13"/>
      <c r="B5" s="12"/>
    </row>
    <row r="6" customFormat="false" ht="15" hidden="false" customHeight="false" outlineLevel="0" collapsed="false">
      <c r="A6" s="5" t="s">
        <v>311</v>
      </c>
      <c r="B6" s="12"/>
    </row>
    <row r="7" customFormat="false" ht="15" hidden="false" customHeight="false" outlineLevel="0" collapsed="false">
      <c r="A7" s="14" t="s">
        <v>124</v>
      </c>
      <c r="B7" s="12"/>
    </row>
    <row r="8" customFormat="false" ht="15" hidden="false" customHeight="false" outlineLevel="0" collapsed="false">
      <c r="A8" s="15" t="s">
        <v>148</v>
      </c>
      <c r="B8" s="12"/>
    </row>
    <row r="9" customFormat="false" ht="15" hidden="false" customHeight="false" outlineLevel="0" collapsed="false">
      <c r="A9" s="16" t="s">
        <v>156</v>
      </c>
      <c r="B9" s="12"/>
    </row>
    <row r="10" customFormat="false" ht="15" hidden="false" customHeight="false" outlineLevel="0" collapsed="false">
      <c r="A10" s="13"/>
      <c r="B10" s="12"/>
    </row>
    <row r="11" customFormat="false" ht="15" hidden="false" customHeight="false" outlineLevel="0" collapsed="false">
      <c r="A11" s="5" t="s">
        <v>312</v>
      </c>
      <c r="B11" s="12"/>
    </row>
    <row r="12" customFormat="false" ht="15" hidden="false" customHeight="false" outlineLevel="0" collapsed="false">
      <c r="A12" s="13" t="s">
        <v>123</v>
      </c>
      <c r="B12" s="12"/>
    </row>
    <row r="13" customFormat="false" ht="15" hidden="false" customHeight="false" outlineLevel="0" collapsed="false">
      <c r="A13" s="13" t="s">
        <v>132</v>
      </c>
      <c r="B13" s="12"/>
    </row>
    <row r="14" customFormat="false" ht="15" hidden="false" customHeight="false" outlineLevel="0" collapsed="false">
      <c r="A14" s="13" t="s">
        <v>191</v>
      </c>
      <c r="B14" s="12"/>
    </row>
    <row r="15" customFormat="false" ht="15" hidden="false" customHeight="false" outlineLevel="0" collapsed="false">
      <c r="A15" s="13" t="s">
        <v>185</v>
      </c>
      <c r="B15" s="12"/>
    </row>
    <row r="16" customFormat="false" ht="15" hidden="false" customHeight="false" outlineLevel="0" collapsed="false">
      <c r="A16" s="13" t="s">
        <v>205</v>
      </c>
      <c r="B16" s="12"/>
    </row>
    <row r="17" customFormat="false" ht="15" hidden="false" customHeight="false" outlineLevel="0" collapsed="false">
      <c r="A17" s="13" t="s">
        <v>220</v>
      </c>
      <c r="B17" s="12"/>
    </row>
    <row r="18" customFormat="false" ht="15" hidden="false" customHeight="false" outlineLevel="0" collapsed="false">
      <c r="A18" s="13" t="s">
        <v>282</v>
      </c>
      <c r="B18" s="12"/>
    </row>
    <row r="19" customFormat="false" ht="15" hidden="false" customHeight="false" outlineLevel="0" collapsed="false">
      <c r="A19" s="13" t="s">
        <v>177</v>
      </c>
      <c r="B19" s="12"/>
    </row>
    <row r="20" customFormat="false" ht="15" hidden="false" customHeight="false" outlineLevel="0" collapsed="false">
      <c r="A20" s="13" t="s">
        <v>147</v>
      </c>
      <c r="B20" s="12"/>
    </row>
    <row r="21" customFormat="false" ht="15" hidden="false" customHeight="false" outlineLevel="0" collapsed="false">
      <c r="A21" s="13"/>
      <c r="B21" s="12"/>
    </row>
    <row r="22" customFormat="false" ht="15" hidden="false" customHeight="false" outlineLevel="0" collapsed="false">
      <c r="A22" s="5" t="s">
        <v>313</v>
      </c>
      <c r="B22" s="12" t="s">
        <v>314</v>
      </c>
    </row>
    <row r="23" customFormat="false" ht="35.05" hidden="false" customHeight="false" outlineLevel="0" collapsed="false">
      <c r="A23" s="5" t="s">
        <v>315</v>
      </c>
      <c r="B23" s="12" t="s">
        <v>316</v>
      </c>
    </row>
    <row r="24" customFormat="false" ht="23.85" hidden="false" customHeight="false" outlineLevel="0" collapsed="false">
      <c r="A24" s="5" t="s">
        <v>317</v>
      </c>
      <c r="B24" s="12" t="s">
        <v>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2026-10-23T10:39:11Z</dcterms:created>
  <dc:creator>openpyxl</dc:creator>
  <dc:description/>
  <dc:language>en-US</dc:language>
  <cp:lastModifiedBy/>
  <dcterms:modified xsi:type="dcterms:W3CDTF">2026-10-23T10:39:11Z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