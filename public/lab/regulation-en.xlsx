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untry summary" sheetId="1" state="visible" r:id="rId3"/>
    <sheet name="Rules" sheetId="2" state="visible" r:id="rId4"/>
    <sheet name="Reference" sheetId="3" state="visible" r:id="rId5"/>
  </sheets>
  <definedNames>
    <definedName function="false" hidden="true" localSheetId="0" name="_xlnm._FilterDatabase" vbProcedure="false">'Country summary'!$A$1:$M$21</definedName>
    <definedName function="false" hidden="true" localSheetId="1" name="_xlnm._FilterDatabase" vbProcedure="false">Rules!$A$1:$J$26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<sst xmlns="http://schemas.openxmlformats.org/spreadsheetml/2006/main" count="437" uniqueCount="265">
  <si>
    <t xml:space="preserve">No.</t>
  </si>
  <si>
    <t xml:space="preserve">Country</t>
  </si>
  <si>
    <t xml:space="preserve">Bloc</t>
  </si>
  <si>
    <t xml:space="preserve">On-pack wording</t>
  </si>
  <si>
    <t xml:space="preserve">Use of the “palm oil free” claim</t>
  </si>
  <si>
    <t xml:space="preserve">Rules total (incl. bloc)</t>
  </si>
  <si>
    <t xml:space="preserve">In force</t>
  </si>
  <si>
    <t xml:space="preserve">Apply later</t>
  </si>
  <si>
    <t xml:space="preserve">Proposals</t>
  </si>
  <si>
    <t xml:space="preserve">Rules in brief</t>
  </si>
  <si>
    <t xml:space="preserve">Market practice of the claim</t>
  </si>
  <si>
    <t xml:space="preserve">Code</t>
  </si>
  <si>
    <t xml:space="preserve">Bloc code</t>
  </si>
  <si>
    <t xml:space="preserve">Poland</t>
  </si>
  <si>
    <t xml:space="preserve">EU</t>
  </si>
  <si>
    <t xml:space="preserve">bez oleju palmowego (“palm oil free”)</t>
  </si>
  <si>
    <t xml:space="preserve">High</t>
  </si>
  <si>
    <t xml:space="preserve">No national palm-specific rules; EU rules apply.</t>
  </si>
  <si>
    <t xml:space="preserve">Żabka: 100% of private label palm-free, supplier brands RSPO-only. Claim used on snacks, spreads, infant formula, B2B bakery margarines.</t>
  </si>
  <si>
    <t xml:space="preserve">PL</t>
  </si>
  <si>
    <t xml:space="preserve">Czech Republic</t>
  </si>
  <si>
    <t xml:space="preserve">bez palmového oleje (“palm oil free”)</t>
  </si>
  <si>
    <t xml:space="preserve">Claim built into product names in online retail (Rohlik: Lef, Chocoland). Home of the 1 February ‘Palm Oil Free Day’.</t>
  </si>
  <si>
    <t xml:space="preserve">CZ</t>
  </si>
  <si>
    <t xml:space="preserve">Slovakia</t>
  </si>
  <si>
    <t xml:space="preserve">bez palmového oleja (“palm oil free”)</t>
  </si>
  <si>
    <t xml:space="preserve">Medium</t>
  </si>
  <si>
    <t xml:space="preserve">No national palm-specific rules; EU rules apply, including the dual-quality ban.</t>
  </si>
  <si>
    <t xml:space="preserve">Local nut-spread brands; ‘dual quality’ debate (palm oil instead of butter in recipes for the East).</t>
  </si>
  <si>
    <t xml:space="preserve">SK</t>
  </si>
  <si>
    <t xml:space="preserve">Hungary</t>
  </si>
  <si>
    <t xml:space="preserve">pálmaolaj-mentes (“palm oil free”)</t>
  </si>
  <si>
    <t xml:space="preserve">Low</t>
  </si>
  <si>
    <t xml:space="preserve">No national palm-specific rules found; EU rules apply.</t>
  </si>
  <si>
    <t xml:space="preserve">Free-from niche; media focus on prices and EUDR.</t>
  </si>
  <si>
    <t xml:space="preserve">HU</t>
  </si>
  <si>
    <t xml:space="preserve">Romania</t>
  </si>
  <si>
    <t xml:space="preserve">fără ulei de palmier (“palm oil free”)</t>
  </si>
  <si>
    <t xml:space="preserve">Standard ‘Fara ulei de palmier’ filter on eMAG; free-from shops.</t>
  </si>
  <si>
    <t xml:space="preserve">RO</t>
  </si>
  <si>
    <t xml:space="preserve">Bulgaria</t>
  </si>
  <si>
    <t xml:space="preserve">без палмово масло (“palm oil free”)</t>
  </si>
  <si>
    <t xml:space="preserve">No data</t>
  </si>
  <si>
    <t xml:space="preserve">No publications found for the period; claim seen on EU imports.</t>
  </si>
  <si>
    <t xml:space="preserve">BG</t>
  </si>
  <si>
    <t xml:space="preserve">Estonia</t>
  </si>
  <si>
    <t xml:space="preserve">palmiõlita (“palm oil free”)</t>
  </si>
  <si>
    <t xml:space="preserve">No publications found for the period.</t>
  </si>
  <si>
    <t xml:space="preserve">EE</t>
  </si>
  <si>
    <t xml:space="preserve">Latvia</t>
  </si>
  <si>
    <t xml:space="preserve">bez palmu eļļas (“palm oil free”)</t>
  </si>
  <si>
    <t xml:space="preserve">Debate about palm oil in infant formula (LSM).</t>
  </si>
  <si>
    <t xml:space="preserve">LV</t>
  </si>
  <si>
    <t xml:space="preserve">Lithuania</t>
  </si>
  <si>
    <t xml:space="preserve">be palmių aliejaus (“palm oil free”)</t>
  </si>
  <si>
    <t xml:space="preserve">Debate centres on palm oil in biofuel, not packaging.</t>
  </si>
  <si>
    <t xml:space="preserve">LT</t>
  </si>
  <si>
    <t xml:space="preserve">Croatia</t>
  </si>
  <si>
    <t xml:space="preserve">bez palminog ulja (“palm oil free”)</t>
  </si>
  <si>
    <t xml:space="preserve">Mostly cosmetics and soap; Lidl Hrvatska follows RSPO sourcing, not avoidance.</t>
  </si>
  <si>
    <t xml:space="preserve">HR</t>
  </si>
  <si>
    <t xml:space="preserve">Belarus</t>
  </si>
  <si>
    <t xml:space="preserve">EAEU</t>
  </si>
  <si>
    <t xml:space="preserve">без пальмового масла (“palm oil free”)</t>
  </si>
  <si>
    <t xml:space="preserve">EAEU rules. Belarus initiated the push to require the specific vegetable oil in ingredient lists.</t>
  </si>
  <si>
    <t xml:space="preserve">No data on voluntary claims for the period. The National Academy of Sciences developed a method to detect palm oil in food.</t>
  </si>
  <si>
    <t xml:space="preserve">BY</t>
  </si>
  <si>
    <t xml:space="preserve">Moldova</t>
  </si>
  <si>
    <t xml:space="preserve">Outside EU and EAEU</t>
  </si>
  <si>
    <t xml:space="preserve">Tighter checks on imported palm oil lots (3-MCPD).</t>
  </si>
  <si>
    <t xml:space="preserve">Claim seen on imports from the EU and Romania.</t>
  </si>
  <si>
    <t xml:space="preserve">MD</t>
  </si>
  <si>
    <t xml:space="preserve">-</t>
  </si>
  <si>
    <t xml:space="preserve">Ukraine</t>
  </si>
  <si>
    <t xml:space="preserve">без пальмової олії (“palm oil free”)</t>
  </si>
  <si>
    <t xml:space="preserve">Strictest law in the region: bans in dairy, baby food and confectionery plus labelling.</t>
  </si>
  <si>
    <t xml:space="preserve">Claim used by brands and on marketplaces (Prom.ua).</t>
  </si>
  <si>
    <t xml:space="preserve">UA</t>
  </si>
  <si>
    <t xml:space="preserve">Russia</t>
  </si>
  <si>
    <t xml:space="preserve">EAEU rules + GOST 31647–2025 and ‘Chestny Znak’ digital marking of oils; new limits debated in the Duma.</t>
  </si>
  <si>
    <t xml:space="preserve">‘Bezpalmy.rf’ catalogue (Dec 2025); retailers push ‘healthy’ ranges; Roskachestvo tests chocolate for palm oil.</t>
  </si>
  <si>
    <t xml:space="preserve">RU</t>
  </si>
  <si>
    <t xml:space="preserve">Kazakhstan</t>
  </si>
  <si>
    <t xml:space="preserve">EAEU rules; mandatory digital marking of vegetable oils from 1 Apr 2027.</t>
  </si>
  <si>
    <t xml:space="preserve">Claim is rare.</t>
  </si>
  <si>
    <t xml:space="preserve">KZ</t>
  </si>
  <si>
    <t xml:space="preserve">Kyrgyzstan</t>
  </si>
  <si>
    <t xml:space="preserve">EAEU rules; crackdown on milk adulterated with palm oil.</t>
  </si>
  <si>
    <t xml:space="preserve">KG</t>
  </si>
  <si>
    <t xml:space="preserve">Tajikistan</t>
  </si>
  <si>
    <t xml:space="preserve">—</t>
  </si>
  <si>
    <t xml:space="preserve">None</t>
  </si>
  <si>
    <t xml:space="preserve">Import ban on palm oil except raw material for industrial processing.</t>
  </si>
  <si>
    <t xml:space="preserve">Claim not seen.</t>
  </si>
  <si>
    <t xml:space="preserve">TJ</t>
  </si>
  <si>
    <t xml:space="preserve">Turkmenistan</t>
  </si>
  <si>
    <t xml:space="preserve">No public data on specific rules.</t>
  </si>
  <si>
    <t xml:space="preserve">No public data.</t>
  </si>
  <si>
    <t xml:space="preserve">TM</t>
  </si>
  <si>
    <t xml:space="preserve">Uzbekistan</t>
  </si>
  <si>
    <t xml:space="preserve">без пальмового масла / palma moyisiz (“palm oil free”)</t>
  </si>
  <si>
    <t xml:space="preserve">Mandatory lab testing (2025), draft excise of $139/t (2026), digital marking of oils from 1 Jul 2027.</t>
  </si>
  <si>
    <t xml:space="preserve">Used by a few brands; local press criticises such claims as misleading.</t>
  </si>
  <si>
    <t xml:space="preserve">UZ</t>
  </si>
  <si>
    <t xml:space="preserve">Armenia</t>
  </si>
  <si>
    <t xml:space="preserve">EAEU rules + ‘contains milk fat substitute’ label and separate shelving from 27 Apr 2025.</t>
  </si>
  <si>
    <t xml:space="preserve">AM</t>
  </si>
  <si>
    <t xml:space="preserve">Total rules in the database</t>
  </si>
  <si>
    <t xml:space="preserve">Columns F–I are formulas over the “Rules” sheet: the country’s own rules plus the common rules of its bloc (EU or EAEU). Column E is an expert estimate based on published sources, chosen from a list.</t>
  </si>
  <si>
    <t xml:space="preserve">Scope code</t>
  </si>
  <si>
    <t xml:space="preserve">Scope</t>
  </si>
  <si>
    <t xml:space="preserve">Type of rule</t>
  </si>
  <si>
    <t xml:space="preserve">Status</t>
  </si>
  <si>
    <t xml:space="preserve">Applies from</t>
  </si>
  <si>
    <t xml:space="preserve">Legal act / source of the rule</t>
  </si>
  <si>
    <t xml:space="preserve">Rule</t>
  </si>
  <si>
    <t xml:space="preserve">Description</t>
  </si>
  <si>
    <t xml:space="preserve">Link</t>
  </si>
  <si>
    <t xml:space="preserve">EU (common rules)</t>
  </si>
  <si>
    <t xml:space="preserve">Ingredient disclosure / labelling</t>
  </si>
  <si>
    <t xml:space="preserve">13.12.2014</t>
  </si>
  <si>
    <t xml:space="preserve">Regulation (EU) No 1169/2011 (FIC)</t>
  </si>
  <si>
    <t xml:space="preserve">Mandatory naming of the vegetable oil</t>
  </si>
  <si>
    <t xml:space="preserve">Refined oils in the ingredient list must state their vegetable origin, so palm oil cannot hide behind ‘vegetable fat’. A voluntary ‘palm oil free’ claim is allowed if true and not misleading.</t>
  </si>
  <si>
    <t xml:space="preserve">https://eur-lex.europa.eu/eli/reg/2011/1169/oj</t>
  </si>
  <si>
    <t xml:space="preserve">Claim rules</t>
  </si>
  <si>
    <t xml:space="preserve">28.05.2022</t>
  </si>
  <si>
    <t xml:space="preserve">Directive (EU) 2019/2161 (Omnibus), Art. 6(2)(c) UCPD</t>
  </si>
  <si>
    <t xml:space="preserve">Ban on ‘dual quality’</t>
  </si>
  <si>
    <t xml:space="preserve">A product marketed as identical across EU countries may not differ markedly in composition without an objective reason — the basis of disputes over palm oil replacing butter in East European recipes.</t>
  </si>
  <si>
    <t xml:space="preserve">https://eur-lex.europa.eu/eli/dir/2019/2161/oj</t>
  </si>
  <si>
    <t xml:space="preserve">27.09.2026</t>
  </si>
  <si>
    <t xml:space="preserve">Directive (EU) 2024/825 (EmpCo)</t>
  </si>
  <si>
    <t xml:space="preserve">Ban on generic green claims and self-made eco labels</t>
  </si>
  <si>
    <t xml:space="preserve">Generic environmental claims without recognised excellent performance and uncertified own eco labels are banned. ‘Palm oil free’ itself is not banned, but eco framing (‘to save forests’) and home-made ‘palm oil free’ badges are at risk.</t>
  </si>
  <si>
    <t xml:space="preserve">https://eur-lex.europa.eu/eli/dir/2024/825/oj</t>
  </si>
  <si>
    <t xml:space="preserve">Sustainability (EUDR)</t>
  </si>
  <si>
    <t xml:space="preserve">Adopted, applies later</t>
  </si>
  <si>
    <t xml:space="preserve">30.12.2026</t>
  </si>
  <si>
    <t xml:space="preserve">Regulation (EU) 2023/1115 (EUDR), as amended by 2025/2650</t>
  </si>
  <si>
    <t xml:space="preserve">Palm oil must be deforestation-free</t>
  </si>
  <si>
    <t xml:space="preserve">Operators must prove palm oil is not linked to deforestation after 31 Dec 2020 (plot geolocation). Medium and large firms from 30 Dec 2026, micro and small from 30 Jun 2027.</t>
  </si>
  <si>
    <t xml:space="preserve">https://vinciworks.com/blog/eudr-delayed-again-what-changed-what-is-now-fixed-and-what-businesses-should-do-in-2026/</t>
  </si>
  <si>
    <t xml:space="preserve">Proposal / draft</t>
  </si>
  <si>
    <t xml:space="preserve">04.05.2026</t>
  </si>
  <si>
    <t xml:space="preserve">Draft delegated act under EUDR</t>
  </si>
  <si>
    <t xml:space="preserve">EUDR extended to palm oil derivatives</t>
  </si>
  <si>
    <t xml:space="preserve">The Commission proposed adding oleochemicals (fatty acids, their esters, palm-based soap).</t>
  </si>
  <si>
    <t xml:space="preserve">https://blog.foodsconnected.com/7-key-takeaways-from-the-april-2026-eudr-review</t>
  </si>
  <si>
    <t xml:space="preserve">EAEU (common rules)</t>
  </si>
  <si>
    <t xml:space="preserve">01.07.2013</t>
  </si>
  <si>
    <t xml:space="preserve">TR CU 022/2011 “Food products: labelling”</t>
  </si>
  <si>
    <t xml:space="preserve">Generic ‘vegetable oil’ name allowed</t>
  </si>
  <si>
    <t xml:space="preserve">Refined oils may be listed as ‘vegetable oil (fat)’ without the species — the main loophole for not naming palm oil.</t>
  </si>
  <si>
    <t xml:space="preserve">https://eec.eaeunion.org/comission/department/deptexreg/tr/PischevkaMarkirovka.php</t>
  </si>
  <si>
    <t xml:space="preserve">Amendments to TR CU 022/2011 (drafted by Belarus)</t>
  </si>
  <si>
    <t xml:space="preserve">Mandatory naming of the vegetable oil species</t>
  </si>
  <si>
    <t xml:space="preserve">Proposal to require the oil species in the ingredient list; Kazakhstan’s health ministry supported it, Atameken objected. Not adopted yet.</t>
  </si>
  <si>
    <t xml:space="preserve">https://nkprom.ru/news/v-tr-ts-022-2011-pishchevaya-produktsiya-v-chasti-ee-markirovki-i-tr-ts-022-2011-o-bezopasnosti-sred/</t>
  </si>
  <si>
    <t xml:space="preserve">Quality standards</t>
  </si>
  <si>
    <t xml:space="preserve">22.12.2024</t>
  </si>
  <si>
    <t xml:space="preserve">TR CU 024/2011 “Oil and fat products” (new version)</t>
  </si>
  <si>
    <t xml:space="preserve">Updated rules for oil and fat products</t>
  </si>
  <si>
    <t xml:space="preserve">New definitions of spreads, blended fats, interesterified fats; concept of re-refining.</t>
  </si>
  <si>
    <t xml:space="preserve">https://foodsmi.com/zakonodatelstvo/izmeneniya-v-tekhreglamente-na-maslozhirovuyu-produktsiyu/</t>
  </si>
  <si>
    <t xml:space="preserve">Dairy and milk fat substitutes</t>
  </si>
  <si>
    <t xml:space="preserve">TR CU 033/2013 “Safety of milk and dairy products”</t>
  </si>
  <si>
    <t xml:space="preserve">Products with milk fat substitute are a separate category</t>
  </si>
  <si>
    <t xml:space="preserve">Products with vegetable fats must be called ‘milk-containing product with milk fat substitute’ (spread, cheese product, etc.), not butter or cheese.</t>
  </si>
  <si>
    <t xml:space="preserve">Composition ban / restriction</t>
  </si>
  <si>
    <t xml:space="preserve">11.2025</t>
  </si>
  <si>
    <t xml:space="preserve">Law of Ukraine No. 3947-IX of 04.09.2024</t>
  </si>
  <si>
    <t xml:space="preserve">Palm oil bans in dairy, baby food and confectionery</t>
  </si>
  <si>
    <t xml:space="preserve">Bans palm oil in traditional dairy; hydrogenated fats in baby food and confectionery (chocolate, ice cream); trans fat ≤ 2 g per 100 g of fat; fines of 45–65 minimum wages. Signed 6 Nov 2024, enacted one year after publication.</t>
  </si>
  <si>
    <t xml:space="preserve">https://biz.ligazakon.net/news/231710_prezident-pdpisav-zakon-pro-obmezhennya-vikoristannya-palmovo-ol-u-produktakh-kharchuvannya</t>
  </si>
  <si>
    <t xml:space="preserve">Law of Ukraine No. 3947-IX</t>
  </si>
  <si>
    <t xml:space="preserve">Labelling of products containing palm oil</t>
  </si>
  <si>
    <t xml:space="preserve">The law requires ‘clear and understandable’ labelling. The bill foresaw a ‘contains palm oil’ statement; 2026 guidance says there is no separate front-of-pack mark — format to verify against the law text.</t>
  </si>
  <si>
    <t xml:space="preserve">https://ngu.com.ua/palmova-oliia-shkoda-sklad-doza-i-etyketka/</t>
  </si>
  <si>
    <t xml:space="preserve">Import control</t>
  </si>
  <si>
    <t xml:space="preserve">04.09.2025</t>
  </si>
  <si>
    <t xml:space="preserve">ANSA Order No. 352 of 04.09.2025 (amended by Order No. 369)</t>
  </si>
  <si>
    <t xml:space="preserve">Tighter control of imported palm oil</t>
  </si>
  <si>
    <t xml:space="preserve">Palm oil lots are lab-tested at the border, including for 3-MCPD, after exceedances were found.</t>
  </si>
  <si>
    <t xml:space="preserve">https://ansa.gov.md/sites/default/files/documents/Ordine/Ordin%20nr.%20369.pdf</t>
  </si>
  <si>
    <t xml:space="preserve">01.01.2026</t>
  </si>
  <si>
    <t xml:space="preserve">GOST 31647–2025 “Refined palm oil…”</t>
  </si>
  <si>
    <t xml:space="preserve">New palm oil standard</t>
  </si>
  <si>
    <t xml:space="preserve">Tighter requirements on refining, safety, origin, control, storage and labelling of palm oil for food use.</t>
  </si>
  <si>
    <t xml:space="preserve">https://www.retail.ru/news/v-rossii-poyavilsya-edinyy-katalog-produktov-bez-palmy-23-dekabrya-2025-272975/</t>
  </si>
  <si>
    <t xml:space="preserve">Digital marking and traceability</t>
  </si>
  <si>
    <t xml:space="preserve">01.11.2026</t>
  </si>
  <si>
    <t xml:space="preserve">“Chestny Znak” marking (vegetable oils, HS 1511 etc.)</t>
  </si>
  <si>
    <t xml:space="preserve">Unit-level tracking of vegetable oils</t>
  </si>
  <si>
    <t xml:space="preserve">Producer and importer marking since 1 Oct 2024 and 1 Feb 2025, checkout reporting since 1 Nov 2025, invoices with each pack’s code from 1 Nov 2026.</t>
  </si>
  <si>
    <t xml:space="preserve">https://www.klerk.ru/buh/articles/713288/</t>
  </si>
  <si>
    <t xml:space="preserve">01.07.2019</t>
  </si>
  <si>
    <t xml:space="preserve">Retail trade rules</t>
  </si>
  <si>
    <t xml:space="preserve">Separate shelving of dairy without milk fat substitute</t>
  </si>
  <si>
    <t xml:space="preserve">Dairy without milk fat substitute is displayed separately and marked on the shelf; products with substitutes are kept apart.</t>
  </si>
  <si>
    <t xml:space="preserve">https://www.gazeta.ru/business/2019/07/01/12467725.shtml</t>
  </si>
  <si>
    <t xml:space="preserve">2025</t>
  </si>
  <si>
    <t xml:space="preserve">Proposals by State Duma deputies (N. Shkolkina)</t>
  </si>
  <si>
    <t xml:space="preserve">Tracking of palm raw material and baby-food ban</t>
  </si>
  <si>
    <t xml:space="preserve">Proposals to track all palm raw material in Chestny Znak and ban palm oil in baby food. The Duma did not back the ban: sanitary rules already limit it in children’s catering.</t>
  </si>
  <si>
    <t xml:space="preserve">https://oleoscope.com/analytics/gosduma-predlozhila-markirovku-dlja-masla/</t>
  </si>
  <si>
    <t xml:space="preserve">22.07.2026</t>
  </si>
  <si>
    <t xml:space="preserve">“Healthy Fatherland” appeal to the State Duma speaker</t>
  </si>
  <si>
    <t xml:space="preserve">Warning labels for products with palm oil</t>
  </si>
  <si>
    <t xml:space="preserve">Proposal to show sugar, salt, fat and calories against reference intakes on products with palm oil.</t>
  </si>
  <si>
    <t xml:space="preserve">https://ria.ru/20260722/markirovka-2106133235.html</t>
  </si>
  <si>
    <t xml:space="preserve">01.04.2027</t>
  </si>
  <si>
    <t xml:space="preserve">List of goods subject to marking (2026 edition)</t>
  </si>
  <si>
    <t xml:space="preserve">Mandatory digital marking of vegetable oils</t>
  </si>
  <si>
    <t xml:space="preserve">Pilot since September 2025. From 1 Apr 2027 consumer-packed oils are marked, including palm oil, margarine and cocoa butter substitutes.</t>
  </si>
  <si>
    <t xml:space="preserve">https://inbusiness.kz/ru/news/v-kazahstane-pochti-vdvoe-rasshirili-markirovku-tovarov</t>
  </si>
  <si>
    <t xml:space="preserve">Position of the oil processors’ association</t>
  </si>
  <si>
    <t xml:space="preserve">Mandatory naming of palm oil in ingredients</t>
  </si>
  <si>
    <t xml:space="preserve">Oil processors back disclosure of palm oil; Atameken objects, citing lack of test methods.</t>
  </si>
  <si>
    <t xml:space="preserve">https://kapital.kz/business/134274/maslopererabotchiki-rk-vystupayut-za-ukazaniye-nalichiya-v-produktakh-pal-movogo-masla.html</t>
  </si>
  <si>
    <t xml:space="preserve">EAEU rules; statement by the Kyrgyz agriculture ministry</t>
  </si>
  <si>
    <t xml:space="preserve">No palm oil in milk</t>
  </si>
  <si>
    <t xml:space="preserve">The agriculture ministry stated palm oil may not be used in milk and passed data on adulterating suppliers to the security service.</t>
  </si>
  <si>
    <t xml:space="preserve">https://dairynews.today/kz/news/v-kyrgyzstane-obsuzhdayut-ispolzovanie-palmovogo-masla-v-proizvodstve-moloka.html</t>
  </si>
  <si>
    <t xml:space="preserve">01.05.2020</t>
  </si>
  <si>
    <t xml:space="preserve">Government of Tajikistan Resolution No. 260 of 01.05.2020</t>
  </si>
  <si>
    <t xml:space="preserve">Palm oil import ban</t>
  </si>
  <si>
    <t xml:space="preserve">Import of all palm oil is banned except as raw material for industrial processing.</t>
  </si>
  <si>
    <t xml:space="preserve">https://base.spinform.ru/show_doc.fwx?rgn=124770</t>
  </si>
  <si>
    <t xml:space="preserve">01.03.2025</t>
  </si>
  <si>
    <t xml:space="preserve">Presidential Resolution of Uzbekistan of 30.01.2025</t>
  </si>
  <si>
    <t xml:space="preserve">Mandatory lab testing</t>
  </si>
  <si>
    <t xml:space="preserve">Imported palm oil, dairy and trans-fat products are tested in accredited labs for sanitary clearance; inspections along the chain. Duty exemptions on palm and coconut oil extended for two years.</t>
  </si>
  <si>
    <t xml:space="preserve">https://podrobno.uz/cat/obchestvo/v-uzbekistane-vvodyat-obyazatelnyy-laboratornyy-kontrol-palmovogo-masla-i-transzhirov/</t>
  </si>
  <si>
    <t xml:space="preserve">Taxes</t>
  </si>
  <si>
    <t xml:space="preserve">30.07.2026</t>
  </si>
  <si>
    <t xml:space="preserve">Proposal by an institute under Uzbekistan’s Ministry of Economy and Finance</t>
  </si>
  <si>
    <t xml:space="preserve">Palm oil excise of $139/t</t>
  </si>
  <si>
    <t xml:space="preserve">Expected revenue 21.7 bn soums. Authors argue labelling alone is not enough and a price signal is needed.</t>
  </si>
  <si>
    <t xml:space="preserve">https://www.spot.uz/ru/2026/07/30/palm-oil</t>
  </si>
  <si>
    <t xml:space="preserve">01.07.2027</t>
  </si>
  <si>
    <t xml:space="preserve">Cabinet Resolution No. 23 of 23.01.2026; draft procedure (consultation until 24.10.2026)</t>
  </si>
  <si>
    <t xml:space="preserve">Digital marking of vegetable oils</t>
  </si>
  <si>
    <t xml:space="preserve">Pilot 1 Jul–31 Dec 2026, mandatory from 1 Jul 2027: GS1 DataMatrix, Asl Belgisi system, HS 1507–1515 incl. palm oil.</t>
  </si>
  <si>
    <t xml:space="preserve">https://vzglyad.uz/2026/10/09/obsuzhdenie-poryadka-markirovki-rastitelnogo-masla</t>
  </si>
  <si>
    <t xml:space="preserve">27.04.2025</t>
  </si>
  <si>
    <t xml:space="preserve">Amendments to Armenia’s Code of Administrative Offences</t>
  </si>
  <si>
    <t xml:space="preserve">‘Contains milk fat substitute’</t>
  </si>
  <si>
    <t xml:space="preserve">Products with milk fat substitutes are shelved separately and labelled ‘contains milk fat substitute’.</t>
  </si>
  <si>
    <t xml:space="preserve">https://dairynews.today/kz/news/armenia-to-enforce-stricter-labeling-rules-for-dairy-and-meat-products.html</t>
  </si>
  <si>
    <t xml:space="preserve">Regulatory policy: labelling and palm oil</t>
  </si>
  <si>
    <t xml:space="preserve">Prepared by</t>
  </si>
  <si>
    <t xml:space="preserve">International Marketing Agency (IMA)</t>
  </si>
  <si>
    <t xml:space="preserve">Data as of</t>
  </si>
  <si>
    <t xml:space="preserve">23.10.2026</t>
  </si>
  <si>
    <t xml:space="preserve">Review period</t>
  </si>
  <si>
    <t xml:space="preserve">October 2025 – October 2026 (plus earlier rules still in force)</t>
  </si>
  <si>
    <t xml:space="preserve">Statuses</t>
  </si>
  <si>
    <t xml:space="preserve">Types of rules</t>
  </si>
  <si>
    <t xml:space="preserve">Claim-use scale</t>
  </si>
  <si>
    <t xml:space="preserve">Expert estimate based on published sources: High / Medium / Low / None / No data.</t>
  </si>
  <si>
    <t xml:space="preserve">Limitations</t>
  </si>
  <si>
    <t xml:space="preserve">Sources: the open web in national languages. Shelf audits and paid databases (Mintel GNPD, Euromonitor) were not used. Dates without a day are given to the month or year; “—” means no date has been set.</t>
  </si>
  <si>
    <t xml:space="preserve">Disclaimer</t>
  </si>
  <si>
    <t xml:space="preserve">Reference material, not legal advice. Check the text of the rule via the link before making decisions.</t>
  </si>
</sst>
</file>

<file path=xl/styles.xml><?xml version="1.0" encoding="utf-8"?>
<styleSheet xmlns="http://schemas.openxmlformats.org/spreadsheetml/2006/main">
  <numFmts count="2">
    <numFmt numFmtId="164" formatCode="General"/>
    <numFmt numFmtId="165" formatCode="General"/>
  </numFmts>
  <fonts count="10">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b val="true"/>
      <sz val="10"/>
      <name val="Arial"/>
      <family val="0"/>
      <charset val="1"/>
    </font>
    <font>
      <i val="true"/>
      <sz val="9"/>
      <name val="Arial"/>
      <family val="0"/>
      <charset val="1"/>
    </font>
    <font>
      <u val="single"/>
      <sz val="10"/>
      <color rgb="FF0563C1"/>
      <name val="Arial"/>
      <family val="0"/>
      <charset val="1"/>
    </font>
    <font>
      <b val="true"/>
      <sz val="13"/>
      <name val="Arial"/>
      <family val="0"/>
      <charset val="1"/>
    </font>
  </fonts>
  <fills count="6">
    <fill>
      <patternFill patternType="none"/>
    </fill>
    <fill>
      <patternFill patternType="gray125"/>
    </fill>
    <fill>
      <patternFill patternType="solid">
        <fgColor rgb="FF17241F"/>
        <bgColor rgb="FF333333"/>
      </patternFill>
    </fill>
    <fill>
      <patternFill patternType="solid">
        <fgColor rgb="FFE5F4E4"/>
        <bgColor rgb="FFF0EFEC"/>
      </patternFill>
    </fill>
    <fill>
      <patternFill patternType="solid">
        <fgColor rgb="FFF9EEDA"/>
        <bgColor rgb="FFF0EFEC"/>
      </patternFill>
    </fill>
    <fill>
      <patternFill patternType="solid">
        <fgColor rgb="FFF0EFEC"/>
        <bgColor rgb="FFE5F4E4"/>
      </patternFill>
    </fill>
  </fills>
  <borders count="2">
    <border diagonalUp="false" diagonalDown="false">
      <left/>
      <right/>
      <top/>
      <bottom/>
      <diagonal/>
    </border>
    <border diagonalUp="false" diagonalDown="false">
      <left style="thin">
        <color rgb="FFD9DFD6"/>
      </left>
      <right style="thin">
        <color rgb="FFD9DFD6"/>
      </right>
      <top style="thin">
        <color rgb="FFD9DFD6"/>
      </top>
      <bottom style="thin">
        <color rgb="FFD9DFD6"/>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5" fontId="5" fillId="0" borderId="1" xfId="0" applyFont="true" applyBorder="true" applyAlignment="true" applyProtection="false">
      <alignment horizontal="center" vertical="top"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5" fillId="5"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3" borderId="0" xfId="0" applyFont="true" applyBorder="false" applyAlignment="false" applyProtection="false">
      <alignment horizontal="general" vertical="bottom" textRotation="0" wrapText="false" indent="0" shrinkToFit="false"/>
      <protection locked="true" hidden="false"/>
    </xf>
    <xf numFmtId="164" fontId="5" fillId="4" borderId="0" xfId="0" applyFont="true" applyBorder="false" applyAlignment="false" applyProtection="false">
      <alignment horizontal="general" vertical="bottom" textRotation="0" wrapText="false" indent="0" shrinkToFit="false"/>
      <protection locked="true" hidden="false"/>
    </xf>
    <xf numFmtId="164" fontId="5" fillId="5"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17241F"/>
          <bgColor rgb="FF000000"/>
        </patternFill>
      </fill>
    </dxf>
    <dxf>
      <fill>
        <patternFill patternType="solid">
          <bgColor rgb="FF000000"/>
        </patternFill>
      </fill>
    </dxf>
    <dxf>
      <fill>
        <patternFill patternType="solid">
          <fgColor rgb="FFFFFFFF"/>
          <bgColor rgb="FF000000"/>
        </patternFill>
      </fill>
    </dxf>
    <dxf>
      <fill>
        <patternFill patternType="solid">
          <fgColor rgb="FFE5F4E4"/>
          <bgColor rgb="FF000000"/>
        </patternFill>
      </fill>
    </dxf>
    <dxf>
      <fill>
        <patternFill patternType="solid">
          <fgColor rgb="FFF0EFEC"/>
          <bgColor rgb="FF000000"/>
        </patternFill>
      </fill>
    </dxf>
    <dxf>
      <fill>
        <patternFill patternType="solid">
          <fgColor rgb="FFF9EEDA"/>
          <bgColor rgb="FF000000"/>
        </patternFill>
      </fill>
    </dxf>
    <dxf>
      <fill>
        <patternFill patternType="solid">
          <fgColor rgb="FF0563C1"/>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9EEDA"/>
      <rgbColor rgb="FFF0EFEC"/>
      <rgbColor rgb="FF660066"/>
      <rgbColor rgb="FFFF8080"/>
      <rgbColor rgb="FF0563C1"/>
      <rgbColor rgb="FFD9DFD6"/>
      <rgbColor rgb="FF000080"/>
      <rgbColor rgb="FFFF00FF"/>
      <rgbColor rgb="FFFFFF00"/>
      <rgbColor rgb="FF00FFFF"/>
      <rgbColor rgb="FF800080"/>
      <rgbColor rgb="FF800000"/>
      <rgbColor rgb="FF008080"/>
      <rgbColor rgb="FF0000FF"/>
      <rgbColor rgb="FF00CCFF"/>
      <rgbColor rgb="FFCCFFFF"/>
      <rgbColor rgb="FFE5F4E4"/>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17241F"/>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hyperlink" Target="https://eur-lex.europa.eu/eli/reg/2011/1169/oj" TargetMode="External"/><Relationship Id="rId2" Type="http://schemas.openxmlformats.org/officeDocument/2006/relationships/hyperlink" Target="https://eur-lex.europa.eu/eli/dir/2019/2161/oj" TargetMode="External"/><Relationship Id="rId3" Type="http://schemas.openxmlformats.org/officeDocument/2006/relationships/hyperlink" Target="https://eur-lex.europa.eu/eli/dir/2024/825/oj" TargetMode="External"/><Relationship Id="rId4" Type="http://schemas.openxmlformats.org/officeDocument/2006/relationships/hyperlink" Target="https://vinciworks.com/blog/eudr-delayed-again-what-changed-what-is-now-fixed-and-what-businesses-should-do-in-2026/" TargetMode="External"/><Relationship Id="rId5" Type="http://schemas.openxmlformats.org/officeDocument/2006/relationships/hyperlink" Target="https://blog.foodsconnected.com/7-key-takeaways-from-the-april-2026-eudr-review" TargetMode="External"/><Relationship Id="rId6" Type="http://schemas.openxmlformats.org/officeDocument/2006/relationships/hyperlink" Target="https://eec.eaeunion.org/comission/department/deptexreg/tr/PischevkaMarkirovka.php" TargetMode="External"/><Relationship Id="rId7" Type="http://schemas.openxmlformats.org/officeDocument/2006/relationships/hyperlink" Target="https://nkprom.ru/news/v-tr-ts-022-2011-pishchevaya-produktsiya-v-chasti-ee-markirovki-i-tr-ts-022-2011-o-bezopasnosti-sred/" TargetMode="External"/><Relationship Id="rId8" Type="http://schemas.openxmlformats.org/officeDocument/2006/relationships/hyperlink" Target="https://foodsmi.com/zakonodatelstvo/izmeneniya-v-tekhreglamente-na-maslozhirovuyu-produktsiyu/" TargetMode="External"/><Relationship Id="rId9" Type="http://schemas.openxmlformats.org/officeDocument/2006/relationships/hyperlink" Target="https://biz.ligazakon.net/news/231710_prezident-pdpisav-zakon-pro-obmezhennya-vikoristannya-palmovo-ol-u-produktakh-kharchuvannya" TargetMode="External"/><Relationship Id="rId10" Type="http://schemas.openxmlformats.org/officeDocument/2006/relationships/hyperlink" Target="https://ngu.com.ua/palmova-oliia-shkoda-sklad-doza-i-etyketka/" TargetMode="External"/><Relationship Id="rId11" Type="http://schemas.openxmlformats.org/officeDocument/2006/relationships/hyperlink" Target="https://ansa.gov.md/sites/default/files/documents/Ordine/Ordin%20nr.%20369.pdf" TargetMode="External"/><Relationship Id="rId12" Type="http://schemas.openxmlformats.org/officeDocument/2006/relationships/hyperlink" Target="https://www.retail.ru/news/v-rossii-poyavilsya-edinyy-katalog-produktov-bez-palmy-23-dekabrya-2025-272975/" TargetMode="External"/><Relationship Id="rId13" Type="http://schemas.openxmlformats.org/officeDocument/2006/relationships/hyperlink" Target="https://www.klerk.ru/buh/articles/713288/" TargetMode="External"/><Relationship Id="rId14" Type="http://schemas.openxmlformats.org/officeDocument/2006/relationships/hyperlink" Target="https://www.gazeta.ru/business/2019/07/01/12467725.shtml" TargetMode="External"/><Relationship Id="rId15" Type="http://schemas.openxmlformats.org/officeDocument/2006/relationships/hyperlink" Target="https://oleoscope.com/analytics/gosduma-predlozhila-markirovku-dlja-masla/" TargetMode="External"/><Relationship Id="rId16" Type="http://schemas.openxmlformats.org/officeDocument/2006/relationships/hyperlink" Target="https://ria.ru/20260722/markirovka-2106133235.html" TargetMode="External"/><Relationship Id="rId17" Type="http://schemas.openxmlformats.org/officeDocument/2006/relationships/hyperlink" Target="https://inbusiness.kz/ru/news/v-kazahstane-pochti-vdvoe-rasshirili-markirovku-tovarov" TargetMode="External"/><Relationship Id="rId18" Type="http://schemas.openxmlformats.org/officeDocument/2006/relationships/hyperlink" Target="https://kapital.kz/business/134274/maslopererabotchiki-rk-vystupayut-za-ukazaniye-nalichiya-v-produktakh-pal-movogo-masla.html" TargetMode="External"/><Relationship Id="rId19" Type="http://schemas.openxmlformats.org/officeDocument/2006/relationships/hyperlink" Target="https://dairynews.today/kz/news/v-kyrgyzstane-obsuzhdayut-ispolzovanie-palmovogo-masla-v-proizvodstve-moloka.html" TargetMode="External"/><Relationship Id="rId20" Type="http://schemas.openxmlformats.org/officeDocument/2006/relationships/hyperlink" Target="https://base.spinform.ru/show_doc.fwx?rgn=124770" TargetMode="External"/><Relationship Id="rId21" Type="http://schemas.openxmlformats.org/officeDocument/2006/relationships/hyperlink" Target="https://podrobno.uz/cat/obchestvo/v-uzbekistane-vvodyat-obyazatelnyy-laboratornyy-kontrol-palmovogo-masla-i-transzhirov/" TargetMode="External"/><Relationship Id="rId22" Type="http://schemas.openxmlformats.org/officeDocument/2006/relationships/hyperlink" Target="https://www.spot.uz/ru/2026/07/30/palm-oil" TargetMode="External"/><Relationship Id="rId23" Type="http://schemas.openxmlformats.org/officeDocument/2006/relationships/hyperlink" Target="https://vzglyad.uz/2026/10/09/obsuzhdenie-poryadka-markirovki-rastitelnogo-masla" TargetMode="External"/><Relationship Id="rId24" Type="http://schemas.openxmlformats.org/officeDocument/2006/relationships/hyperlink" Target="https://dairynews.today/kz/news/armenia-to-enforce-stricter-labeling-rules-for-dairy-and-meat-products.html" TargetMode="External"/><Relationship Id="rId25"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6"/>
    <col collapsed="false" customWidth="true" hidden="false" outlineLevel="0" max="3" min="3" style="0" width="14"/>
    <col collapsed="false" customWidth="true" hidden="false" outlineLevel="0" max="4" min="4" style="0" width="26"/>
    <col collapsed="false" customWidth="true" hidden="false" outlineLevel="0" max="5" min="5" style="0" width="16"/>
    <col collapsed="false" customWidth="true" hidden="false" outlineLevel="0" max="9" min="6" style="0" width="11"/>
    <col collapsed="false" customWidth="true" hidden="false" outlineLevel="0" max="10" min="10" style="0" width="52"/>
    <col collapsed="false" customWidth="true" hidden="false" outlineLevel="0" max="11" min="11" style="0" width="60"/>
    <col collapsed="false" customWidth="true" hidden="false" outlineLevel="0" max="12" min="12" style="0" width="7"/>
    <col collapsed="false" customWidth="true" hidden="false" outlineLevel="0" max="13" min="13" style="0" width="8"/>
  </cols>
  <sheetData>
    <row r="1" customFormat="false" ht="31.5"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row>
    <row r="2" customFormat="false" ht="23.85" hidden="false" customHeight="false" outlineLevel="0" collapsed="false">
      <c r="A2" s="2" t="n">
        <v>1</v>
      </c>
      <c r="B2" s="3" t="s">
        <v>13</v>
      </c>
      <c r="C2" s="2" t="s">
        <v>14</v>
      </c>
      <c r="D2" s="2" t="s">
        <v>15</v>
      </c>
      <c r="E2" s="2" t="s">
        <v>16</v>
      </c>
      <c r="F2" s="4" t="n">
        <f aca="false">COUNTIF(Rules!$B$2:$B$26,L2)+COUNTIF(Rules!$B$2:$B$26,M2)</f>
        <v>5</v>
      </c>
      <c r="G2" s="4" t="n">
        <f aca="false">COUNTIFS(Rules!$B$2:$B$26,L2,Rules!$E$2:$E$26,"In force")+COUNTIFS(Rules!$B$2:$B$26,M2,Rules!$E$2:$E$26,"In force")</f>
        <v>3</v>
      </c>
      <c r="H2" s="4" t="n">
        <f aca="false">COUNTIFS(Rules!$B$2:$B$26,L2,Rules!$E$2:$E$26,"Adopted, applies later")+COUNTIFS(Rules!$B$2:$B$26,M2,Rules!$E$2:$E$26,"Adopted, applies later")</f>
        <v>1</v>
      </c>
      <c r="I2" s="4" t="n">
        <f aca="false">COUNTIFS(Rules!$B$2:$B$26,L2,Rules!$E$2:$E$26,"Proposal / draft")+COUNTIFS(Rules!$B$2:$B$26,M2,Rules!$E$2:$E$26,"Proposal / draft")</f>
        <v>1</v>
      </c>
      <c r="J2" s="2" t="s">
        <v>17</v>
      </c>
      <c r="K2" s="2" t="s">
        <v>18</v>
      </c>
      <c r="L2" s="2" t="s">
        <v>19</v>
      </c>
      <c r="M2" s="2" t="s">
        <v>14</v>
      </c>
    </row>
    <row r="3" customFormat="false" ht="23.85" hidden="false" customHeight="false" outlineLevel="0" collapsed="false">
      <c r="A3" s="2" t="n">
        <v>2</v>
      </c>
      <c r="B3" s="3" t="s">
        <v>20</v>
      </c>
      <c r="C3" s="2" t="s">
        <v>14</v>
      </c>
      <c r="D3" s="2" t="s">
        <v>21</v>
      </c>
      <c r="E3" s="2" t="s">
        <v>16</v>
      </c>
      <c r="F3" s="4" t="n">
        <f aca="false">COUNTIF(Rules!$B$2:$B$26,L3)+COUNTIF(Rules!$B$2:$B$26,M3)</f>
        <v>5</v>
      </c>
      <c r="G3" s="4" t="n">
        <f aca="false">COUNTIFS(Rules!$B$2:$B$26,L3,Rules!$E$2:$E$26,"In force")+COUNTIFS(Rules!$B$2:$B$26,M3,Rules!$E$2:$E$26,"In force")</f>
        <v>3</v>
      </c>
      <c r="H3" s="4" t="n">
        <f aca="false">COUNTIFS(Rules!$B$2:$B$26,L3,Rules!$E$2:$E$26,"Adopted, applies later")+COUNTIFS(Rules!$B$2:$B$26,M3,Rules!$E$2:$E$26,"Adopted, applies later")</f>
        <v>1</v>
      </c>
      <c r="I3" s="4" t="n">
        <f aca="false">COUNTIFS(Rules!$B$2:$B$26,L3,Rules!$E$2:$E$26,"Proposal / draft")+COUNTIFS(Rules!$B$2:$B$26,M3,Rules!$E$2:$E$26,"Proposal / draft")</f>
        <v>1</v>
      </c>
      <c r="J3" s="2" t="s">
        <v>17</v>
      </c>
      <c r="K3" s="2" t="s">
        <v>22</v>
      </c>
      <c r="L3" s="2" t="s">
        <v>23</v>
      </c>
      <c r="M3" s="2" t="s">
        <v>14</v>
      </c>
    </row>
    <row r="4" customFormat="false" ht="23.85" hidden="false" customHeight="false" outlineLevel="0" collapsed="false">
      <c r="A4" s="2" t="n">
        <v>3</v>
      </c>
      <c r="B4" s="3" t="s">
        <v>24</v>
      </c>
      <c r="C4" s="2" t="s">
        <v>14</v>
      </c>
      <c r="D4" s="2" t="s">
        <v>25</v>
      </c>
      <c r="E4" s="2" t="s">
        <v>26</v>
      </c>
      <c r="F4" s="4" t="n">
        <f aca="false">COUNTIF(Rules!$B$2:$B$26,L4)+COUNTIF(Rules!$B$2:$B$26,M4)</f>
        <v>5</v>
      </c>
      <c r="G4" s="4" t="n">
        <f aca="false">COUNTIFS(Rules!$B$2:$B$26,L4,Rules!$E$2:$E$26,"In force")+COUNTIFS(Rules!$B$2:$B$26,M4,Rules!$E$2:$E$26,"In force")</f>
        <v>3</v>
      </c>
      <c r="H4" s="4" t="n">
        <f aca="false">COUNTIFS(Rules!$B$2:$B$26,L4,Rules!$E$2:$E$26,"Adopted, applies later")+COUNTIFS(Rules!$B$2:$B$26,M4,Rules!$E$2:$E$26,"Adopted, applies later")</f>
        <v>1</v>
      </c>
      <c r="I4" s="4" t="n">
        <f aca="false">COUNTIFS(Rules!$B$2:$B$26,L4,Rules!$E$2:$E$26,"Proposal / draft")+COUNTIFS(Rules!$B$2:$B$26,M4,Rules!$E$2:$E$26,"Proposal / draft")</f>
        <v>1</v>
      </c>
      <c r="J4" s="2" t="s">
        <v>27</v>
      </c>
      <c r="K4" s="2" t="s">
        <v>28</v>
      </c>
      <c r="L4" s="2" t="s">
        <v>29</v>
      </c>
      <c r="M4" s="2" t="s">
        <v>14</v>
      </c>
    </row>
    <row r="5" customFormat="false" ht="23.85" hidden="false" customHeight="false" outlineLevel="0" collapsed="false">
      <c r="A5" s="2" t="n">
        <v>4</v>
      </c>
      <c r="B5" s="3" t="s">
        <v>30</v>
      </c>
      <c r="C5" s="2" t="s">
        <v>14</v>
      </c>
      <c r="D5" s="2" t="s">
        <v>31</v>
      </c>
      <c r="E5" s="2" t="s">
        <v>32</v>
      </c>
      <c r="F5" s="4" t="n">
        <f aca="false">COUNTIF(Rules!$B$2:$B$26,L5)+COUNTIF(Rules!$B$2:$B$26,M5)</f>
        <v>5</v>
      </c>
      <c r="G5" s="4" t="n">
        <f aca="false">COUNTIFS(Rules!$B$2:$B$26,L5,Rules!$E$2:$E$26,"In force")+COUNTIFS(Rules!$B$2:$B$26,M5,Rules!$E$2:$E$26,"In force")</f>
        <v>3</v>
      </c>
      <c r="H5" s="4" t="n">
        <f aca="false">COUNTIFS(Rules!$B$2:$B$26,L5,Rules!$E$2:$E$26,"Adopted, applies later")+COUNTIFS(Rules!$B$2:$B$26,M5,Rules!$E$2:$E$26,"Adopted, applies later")</f>
        <v>1</v>
      </c>
      <c r="I5" s="4" t="n">
        <f aca="false">COUNTIFS(Rules!$B$2:$B$26,L5,Rules!$E$2:$E$26,"Proposal / draft")+COUNTIFS(Rules!$B$2:$B$26,M5,Rules!$E$2:$E$26,"Proposal / draft")</f>
        <v>1</v>
      </c>
      <c r="J5" s="2" t="s">
        <v>33</v>
      </c>
      <c r="K5" s="2" t="s">
        <v>34</v>
      </c>
      <c r="L5" s="2" t="s">
        <v>35</v>
      </c>
      <c r="M5" s="2" t="s">
        <v>14</v>
      </c>
    </row>
    <row r="6" customFormat="false" ht="23.85" hidden="false" customHeight="false" outlineLevel="0" collapsed="false">
      <c r="A6" s="2" t="n">
        <v>5</v>
      </c>
      <c r="B6" s="3" t="s">
        <v>36</v>
      </c>
      <c r="C6" s="2" t="s">
        <v>14</v>
      </c>
      <c r="D6" s="2" t="s">
        <v>37</v>
      </c>
      <c r="E6" s="2" t="s">
        <v>26</v>
      </c>
      <c r="F6" s="4" t="n">
        <f aca="false">COUNTIF(Rules!$B$2:$B$26,L6)+COUNTIF(Rules!$B$2:$B$26,M6)</f>
        <v>5</v>
      </c>
      <c r="G6" s="4" t="n">
        <f aca="false">COUNTIFS(Rules!$B$2:$B$26,L6,Rules!$E$2:$E$26,"In force")+COUNTIFS(Rules!$B$2:$B$26,M6,Rules!$E$2:$E$26,"In force")</f>
        <v>3</v>
      </c>
      <c r="H6" s="4" t="n">
        <f aca="false">COUNTIFS(Rules!$B$2:$B$26,L6,Rules!$E$2:$E$26,"Adopted, applies later")+COUNTIFS(Rules!$B$2:$B$26,M6,Rules!$E$2:$E$26,"Adopted, applies later")</f>
        <v>1</v>
      </c>
      <c r="I6" s="4" t="n">
        <f aca="false">COUNTIFS(Rules!$B$2:$B$26,L6,Rules!$E$2:$E$26,"Proposal / draft")+COUNTIFS(Rules!$B$2:$B$26,M6,Rules!$E$2:$E$26,"Proposal / draft")</f>
        <v>1</v>
      </c>
      <c r="J6" s="2" t="s">
        <v>33</v>
      </c>
      <c r="K6" s="2" t="s">
        <v>38</v>
      </c>
      <c r="L6" s="2" t="s">
        <v>39</v>
      </c>
      <c r="M6" s="2" t="s">
        <v>14</v>
      </c>
    </row>
    <row r="7" customFormat="false" ht="23.85" hidden="false" customHeight="false" outlineLevel="0" collapsed="false">
      <c r="A7" s="2" t="n">
        <v>6</v>
      </c>
      <c r="B7" s="3" t="s">
        <v>40</v>
      </c>
      <c r="C7" s="2" t="s">
        <v>14</v>
      </c>
      <c r="D7" s="2" t="s">
        <v>41</v>
      </c>
      <c r="E7" s="2" t="s">
        <v>42</v>
      </c>
      <c r="F7" s="4" t="n">
        <f aca="false">COUNTIF(Rules!$B$2:$B$26,L7)+COUNTIF(Rules!$B$2:$B$26,M7)</f>
        <v>5</v>
      </c>
      <c r="G7" s="4" t="n">
        <f aca="false">COUNTIFS(Rules!$B$2:$B$26,L7,Rules!$E$2:$E$26,"In force")+COUNTIFS(Rules!$B$2:$B$26,M7,Rules!$E$2:$E$26,"In force")</f>
        <v>3</v>
      </c>
      <c r="H7" s="4" t="n">
        <f aca="false">COUNTIFS(Rules!$B$2:$B$26,L7,Rules!$E$2:$E$26,"Adopted, applies later")+COUNTIFS(Rules!$B$2:$B$26,M7,Rules!$E$2:$E$26,"Adopted, applies later")</f>
        <v>1</v>
      </c>
      <c r="I7" s="4" t="n">
        <f aca="false">COUNTIFS(Rules!$B$2:$B$26,L7,Rules!$E$2:$E$26,"Proposal / draft")+COUNTIFS(Rules!$B$2:$B$26,M7,Rules!$E$2:$E$26,"Proposal / draft")</f>
        <v>1</v>
      </c>
      <c r="J7" s="2" t="s">
        <v>33</v>
      </c>
      <c r="K7" s="2" t="s">
        <v>43</v>
      </c>
      <c r="L7" s="2" t="s">
        <v>44</v>
      </c>
      <c r="M7" s="2" t="s">
        <v>14</v>
      </c>
    </row>
    <row r="8" customFormat="false" ht="15" hidden="false" customHeight="false" outlineLevel="0" collapsed="false">
      <c r="A8" s="2" t="n">
        <v>7</v>
      </c>
      <c r="B8" s="3" t="s">
        <v>45</v>
      </c>
      <c r="C8" s="2" t="s">
        <v>14</v>
      </c>
      <c r="D8" s="2" t="s">
        <v>46</v>
      </c>
      <c r="E8" s="2" t="s">
        <v>42</v>
      </c>
      <c r="F8" s="4" t="n">
        <f aca="false">COUNTIF(Rules!$B$2:$B$26,L8)+COUNTIF(Rules!$B$2:$B$26,M8)</f>
        <v>5</v>
      </c>
      <c r="G8" s="4" t="n">
        <f aca="false">COUNTIFS(Rules!$B$2:$B$26,L8,Rules!$E$2:$E$26,"In force")+COUNTIFS(Rules!$B$2:$B$26,M8,Rules!$E$2:$E$26,"In force")</f>
        <v>3</v>
      </c>
      <c r="H8" s="4" t="n">
        <f aca="false">COUNTIFS(Rules!$B$2:$B$26,L8,Rules!$E$2:$E$26,"Adopted, applies later")+COUNTIFS(Rules!$B$2:$B$26,M8,Rules!$E$2:$E$26,"Adopted, applies later")</f>
        <v>1</v>
      </c>
      <c r="I8" s="4" t="n">
        <f aca="false">COUNTIFS(Rules!$B$2:$B$26,L8,Rules!$E$2:$E$26,"Proposal / draft")+COUNTIFS(Rules!$B$2:$B$26,M8,Rules!$E$2:$E$26,"Proposal / draft")</f>
        <v>1</v>
      </c>
      <c r="J8" s="2" t="s">
        <v>33</v>
      </c>
      <c r="K8" s="2" t="s">
        <v>47</v>
      </c>
      <c r="L8" s="2" t="s">
        <v>48</v>
      </c>
      <c r="M8" s="2" t="s">
        <v>14</v>
      </c>
    </row>
    <row r="9" customFormat="false" ht="15" hidden="false" customHeight="false" outlineLevel="0" collapsed="false">
      <c r="A9" s="2" t="n">
        <v>8</v>
      </c>
      <c r="B9" s="3" t="s">
        <v>49</v>
      </c>
      <c r="C9" s="2" t="s">
        <v>14</v>
      </c>
      <c r="D9" s="2" t="s">
        <v>50</v>
      </c>
      <c r="E9" s="2" t="s">
        <v>32</v>
      </c>
      <c r="F9" s="4" t="n">
        <f aca="false">COUNTIF(Rules!$B$2:$B$26,L9)+COUNTIF(Rules!$B$2:$B$26,M9)</f>
        <v>5</v>
      </c>
      <c r="G9" s="4" t="n">
        <f aca="false">COUNTIFS(Rules!$B$2:$B$26,L9,Rules!$E$2:$E$26,"In force")+COUNTIFS(Rules!$B$2:$B$26,M9,Rules!$E$2:$E$26,"In force")</f>
        <v>3</v>
      </c>
      <c r="H9" s="4" t="n">
        <f aca="false">COUNTIFS(Rules!$B$2:$B$26,L9,Rules!$E$2:$E$26,"Adopted, applies later")+COUNTIFS(Rules!$B$2:$B$26,M9,Rules!$E$2:$E$26,"Adopted, applies later")</f>
        <v>1</v>
      </c>
      <c r="I9" s="4" t="n">
        <f aca="false">COUNTIFS(Rules!$B$2:$B$26,L9,Rules!$E$2:$E$26,"Proposal / draft")+COUNTIFS(Rules!$B$2:$B$26,M9,Rules!$E$2:$E$26,"Proposal / draft")</f>
        <v>1</v>
      </c>
      <c r="J9" s="2" t="s">
        <v>33</v>
      </c>
      <c r="K9" s="2" t="s">
        <v>51</v>
      </c>
      <c r="L9" s="2" t="s">
        <v>52</v>
      </c>
      <c r="M9" s="2" t="s">
        <v>14</v>
      </c>
    </row>
    <row r="10" customFormat="false" ht="23.85" hidden="false" customHeight="false" outlineLevel="0" collapsed="false">
      <c r="A10" s="2" t="n">
        <v>9</v>
      </c>
      <c r="B10" s="3" t="s">
        <v>53</v>
      </c>
      <c r="C10" s="2" t="s">
        <v>14</v>
      </c>
      <c r="D10" s="2" t="s">
        <v>54</v>
      </c>
      <c r="E10" s="2" t="s">
        <v>32</v>
      </c>
      <c r="F10" s="4" t="n">
        <f aca="false">COUNTIF(Rules!$B$2:$B$26,L10)+COUNTIF(Rules!$B$2:$B$26,M10)</f>
        <v>5</v>
      </c>
      <c r="G10" s="4" t="n">
        <f aca="false">COUNTIFS(Rules!$B$2:$B$26,L10,Rules!$E$2:$E$26,"In force")+COUNTIFS(Rules!$B$2:$B$26,M10,Rules!$E$2:$E$26,"In force")</f>
        <v>3</v>
      </c>
      <c r="H10" s="4" t="n">
        <f aca="false">COUNTIFS(Rules!$B$2:$B$26,L10,Rules!$E$2:$E$26,"Adopted, applies later")+COUNTIFS(Rules!$B$2:$B$26,M10,Rules!$E$2:$E$26,"Adopted, applies later")</f>
        <v>1</v>
      </c>
      <c r="I10" s="4" t="n">
        <f aca="false">COUNTIFS(Rules!$B$2:$B$26,L10,Rules!$E$2:$E$26,"Proposal / draft")+COUNTIFS(Rules!$B$2:$B$26,M10,Rules!$E$2:$E$26,"Proposal / draft")</f>
        <v>1</v>
      </c>
      <c r="J10" s="2" t="s">
        <v>33</v>
      </c>
      <c r="K10" s="2" t="s">
        <v>55</v>
      </c>
      <c r="L10" s="2" t="s">
        <v>56</v>
      </c>
      <c r="M10" s="2" t="s">
        <v>14</v>
      </c>
    </row>
    <row r="11" customFormat="false" ht="23.85" hidden="false" customHeight="false" outlineLevel="0" collapsed="false">
      <c r="A11" s="2" t="n">
        <v>10</v>
      </c>
      <c r="B11" s="3" t="s">
        <v>57</v>
      </c>
      <c r="C11" s="2" t="s">
        <v>14</v>
      </c>
      <c r="D11" s="2" t="s">
        <v>58</v>
      </c>
      <c r="E11" s="2" t="s">
        <v>32</v>
      </c>
      <c r="F11" s="4" t="n">
        <f aca="false">COUNTIF(Rules!$B$2:$B$26,L11)+COUNTIF(Rules!$B$2:$B$26,M11)</f>
        <v>5</v>
      </c>
      <c r="G11" s="4" t="n">
        <f aca="false">COUNTIFS(Rules!$B$2:$B$26,L11,Rules!$E$2:$E$26,"In force")+COUNTIFS(Rules!$B$2:$B$26,M11,Rules!$E$2:$E$26,"In force")</f>
        <v>3</v>
      </c>
      <c r="H11" s="4" t="n">
        <f aca="false">COUNTIFS(Rules!$B$2:$B$26,L11,Rules!$E$2:$E$26,"Adopted, applies later")+COUNTIFS(Rules!$B$2:$B$26,M11,Rules!$E$2:$E$26,"Adopted, applies later")</f>
        <v>1</v>
      </c>
      <c r="I11" s="4" t="n">
        <f aca="false">COUNTIFS(Rules!$B$2:$B$26,L11,Rules!$E$2:$E$26,"Proposal / draft")+COUNTIFS(Rules!$B$2:$B$26,M11,Rules!$E$2:$E$26,"Proposal / draft")</f>
        <v>1</v>
      </c>
      <c r="J11" s="2" t="s">
        <v>33</v>
      </c>
      <c r="K11" s="2" t="s">
        <v>59</v>
      </c>
      <c r="L11" s="2" t="s">
        <v>60</v>
      </c>
      <c r="M11" s="2" t="s">
        <v>14</v>
      </c>
    </row>
    <row r="12" customFormat="false" ht="23.85" hidden="false" customHeight="false" outlineLevel="0" collapsed="false">
      <c r="A12" s="2" t="n">
        <v>11</v>
      </c>
      <c r="B12" s="3" t="s">
        <v>61</v>
      </c>
      <c r="C12" s="2" t="s">
        <v>62</v>
      </c>
      <c r="D12" s="2" t="s">
        <v>63</v>
      </c>
      <c r="E12" s="2" t="s">
        <v>42</v>
      </c>
      <c r="F12" s="4" t="n">
        <f aca="false">COUNTIF(Rules!$B$2:$B$26,L12)+COUNTIF(Rules!$B$2:$B$26,M12)</f>
        <v>4</v>
      </c>
      <c r="G12" s="4" t="n">
        <f aca="false">COUNTIFS(Rules!$B$2:$B$26,L12,Rules!$E$2:$E$26,"In force")+COUNTIFS(Rules!$B$2:$B$26,M12,Rules!$E$2:$E$26,"In force")</f>
        <v>3</v>
      </c>
      <c r="H12" s="4" t="n">
        <f aca="false">COUNTIFS(Rules!$B$2:$B$26,L12,Rules!$E$2:$E$26,"Adopted, applies later")+COUNTIFS(Rules!$B$2:$B$26,M12,Rules!$E$2:$E$26,"Adopted, applies later")</f>
        <v>0</v>
      </c>
      <c r="I12" s="4" t="n">
        <f aca="false">COUNTIFS(Rules!$B$2:$B$26,L12,Rules!$E$2:$E$26,"Proposal / draft")+COUNTIFS(Rules!$B$2:$B$26,M12,Rules!$E$2:$E$26,"Proposal / draft")</f>
        <v>1</v>
      </c>
      <c r="J12" s="2" t="s">
        <v>64</v>
      </c>
      <c r="K12" s="2" t="s">
        <v>65</v>
      </c>
      <c r="L12" s="2" t="s">
        <v>66</v>
      </c>
      <c r="M12" s="2" t="s">
        <v>62</v>
      </c>
    </row>
    <row r="13" customFormat="false" ht="23.85" hidden="false" customHeight="false" outlineLevel="0" collapsed="false">
      <c r="A13" s="2" t="n">
        <v>12</v>
      </c>
      <c r="B13" s="3" t="s">
        <v>67</v>
      </c>
      <c r="C13" s="2" t="s">
        <v>68</v>
      </c>
      <c r="D13" s="2" t="s">
        <v>37</v>
      </c>
      <c r="E13" s="2" t="s">
        <v>32</v>
      </c>
      <c r="F13" s="4" t="n">
        <f aca="false">COUNTIF(Rules!$B$2:$B$26,L13)+COUNTIF(Rules!$B$2:$B$26,M13)</f>
        <v>1</v>
      </c>
      <c r="G13" s="4" t="n">
        <f aca="false">COUNTIFS(Rules!$B$2:$B$26,L13,Rules!$E$2:$E$26,"In force")+COUNTIFS(Rules!$B$2:$B$26,M13,Rules!$E$2:$E$26,"In force")</f>
        <v>1</v>
      </c>
      <c r="H13" s="4" t="n">
        <f aca="false">COUNTIFS(Rules!$B$2:$B$26,L13,Rules!$E$2:$E$26,"Adopted, applies later")+COUNTIFS(Rules!$B$2:$B$26,M13,Rules!$E$2:$E$26,"Adopted, applies later")</f>
        <v>0</v>
      </c>
      <c r="I13" s="4" t="n">
        <f aca="false">COUNTIFS(Rules!$B$2:$B$26,L13,Rules!$E$2:$E$26,"Proposal / draft")+COUNTIFS(Rules!$B$2:$B$26,M13,Rules!$E$2:$E$26,"Proposal / draft")</f>
        <v>0</v>
      </c>
      <c r="J13" s="2" t="s">
        <v>69</v>
      </c>
      <c r="K13" s="2" t="s">
        <v>70</v>
      </c>
      <c r="L13" s="2" t="s">
        <v>71</v>
      </c>
      <c r="M13" s="2" t="s">
        <v>72</v>
      </c>
    </row>
    <row r="14" customFormat="false" ht="23.85" hidden="false" customHeight="false" outlineLevel="0" collapsed="false">
      <c r="A14" s="2" t="n">
        <v>13</v>
      </c>
      <c r="B14" s="3" t="s">
        <v>73</v>
      </c>
      <c r="C14" s="2" t="s">
        <v>68</v>
      </c>
      <c r="D14" s="2" t="s">
        <v>74</v>
      </c>
      <c r="E14" s="2" t="s">
        <v>26</v>
      </c>
      <c r="F14" s="4" t="n">
        <f aca="false">COUNTIF(Rules!$B$2:$B$26,L14)+COUNTIF(Rules!$B$2:$B$26,M14)</f>
        <v>2</v>
      </c>
      <c r="G14" s="4" t="n">
        <f aca="false">COUNTIFS(Rules!$B$2:$B$26,L14,Rules!$E$2:$E$26,"In force")+COUNTIFS(Rules!$B$2:$B$26,M14,Rules!$E$2:$E$26,"In force")</f>
        <v>2</v>
      </c>
      <c r="H14" s="4" t="n">
        <f aca="false">COUNTIFS(Rules!$B$2:$B$26,L14,Rules!$E$2:$E$26,"Adopted, applies later")+COUNTIFS(Rules!$B$2:$B$26,M14,Rules!$E$2:$E$26,"Adopted, applies later")</f>
        <v>0</v>
      </c>
      <c r="I14" s="4" t="n">
        <f aca="false">COUNTIFS(Rules!$B$2:$B$26,L14,Rules!$E$2:$E$26,"Proposal / draft")+COUNTIFS(Rules!$B$2:$B$26,M14,Rules!$E$2:$E$26,"Proposal / draft")</f>
        <v>0</v>
      </c>
      <c r="J14" s="2" t="s">
        <v>75</v>
      </c>
      <c r="K14" s="2" t="s">
        <v>76</v>
      </c>
      <c r="L14" s="2" t="s">
        <v>77</v>
      </c>
      <c r="M14" s="2" t="s">
        <v>72</v>
      </c>
    </row>
    <row r="15" customFormat="false" ht="23.85" hidden="false" customHeight="false" outlineLevel="0" collapsed="false">
      <c r="A15" s="2" t="n">
        <v>14</v>
      </c>
      <c r="B15" s="3" t="s">
        <v>78</v>
      </c>
      <c r="C15" s="2" t="s">
        <v>62</v>
      </c>
      <c r="D15" s="2" t="s">
        <v>63</v>
      </c>
      <c r="E15" s="2" t="s">
        <v>16</v>
      </c>
      <c r="F15" s="4" t="n">
        <f aca="false">COUNTIF(Rules!$B$2:$B$26,L15)+COUNTIF(Rules!$B$2:$B$26,M15)</f>
        <v>9</v>
      </c>
      <c r="G15" s="4" t="n">
        <f aca="false">COUNTIFS(Rules!$B$2:$B$26,L15,Rules!$E$2:$E$26,"In force")+COUNTIFS(Rules!$B$2:$B$26,M15,Rules!$E$2:$E$26,"In force")</f>
        <v>5</v>
      </c>
      <c r="H15" s="4" t="n">
        <f aca="false">COUNTIFS(Rules!$B$2:$B$26,L15,Rules!$E$2:$E$26,"Adopted, applies later")+COUNTIFS(Rules!$B$2:$B$26,M15,Rules!$E$2:$E$26,"Adopted, applies later")</f>
        <v>1</v>
      </c>
      <c r="I15" s="4" t="n">
        <f aca="false">COUNTIFS(Rules!$B$2:$B$26,L15,Rules!$E$2:$E$26,"Proposal / draft")+COUNTIFS(Rules!$B$2:$B$26,M15,Rules!$E$2:$E$26,"Proposal / draft")</f>
        <v>3</v>
      </c>
      <c r="J15" s="2" t="s">
        <v>79</v>
      </c>
      <c r="K15" s="2" t="s">
        <v>80</v>
      </c>
      <c r="L15" s="2" t="s">
        <v>81</v>
      </c>
      <c r="M15" s="2" t="s">
        <v>62</v>
      </c>
    </row>
    <row r="16" customFormat="false" ht="23.85" hidden="false" customHeight="false" outlineLevel="0" collapsed="false">
      <c r="A16" s="2" t="n">
        <v>15</v>
      </c>
      <c r="B16" s="3" t="s">
        <v>82</v>
      </c>
      <c r="C16" s="2" t="s">
        <v>62</v>
      </c>
      <c r="D16" s="2" t="s">
        <v>63</v>
      </c>
      <c r="E16" s="2" t="s">
        <v>32</v>
      </c>
      <c r="F16" s="4" t="n">
        <f aca="false">COUNTIF(Rules!$B$2:$B$26,L16)+COUNTIF(Rules!$B$2:$B$26,M16)</f>
        <v>6</v>
      </c>
      <c r="G16" s="4" t="n">
        <f aca="false">COUNTIFS(Rules!$B$2:$B$26,L16,Rules!$E$2:$E$26,"In force")+COUNTIFS(Rules!$B$2:$B$26,M16,Rules!$E$2:$E$26,"In force")</f>
        <v>3</v>
      </c>
      <c r="H16" s="4" t="n">
        <f aca="false">COUNTIFS(Rules!$B$2:$B$26,L16,Rules!$E$2:$E$26,"Adopted, applies later")+COUNTIFS(Rules!$B$2:$B$26,M16,Rules!$E$2:$E$26,"Adopted, applies later")</f>
        <v>1</v>
      </c>
      <c r="I16" s="4" t="n">
        <f aca="false">COUNTIFS(Rules!$B$2:$B$26,L16,Rules!$E$2:$E$26,"Proposal / draft")+COUNTIFS(Rules!$B$2:$B$26,M16,Rules!$E$2:$E$26,"Proposal / draft")</f>
        <v>2</v>
      </c>
      <c r="J16" s="2" t="s">
        <v>83</v>
      </c>
      <c r="K16" s="2" t="s">
        <v>84</v>
      </c>
      <c r="L16" s="2" t="s">
        <v>85</v>
      </c>
      <c r="M16" s="2" t="s">
        <v>62</v>
      </c>
    </row>
    <row r="17" customFormat="false" ht="23.85" hidden="false" customHeight="false" outlineLevel="0" collapsed="false">
      <c r="A17" s="2" t="n">
        <v>16</v>
      </c>
      <c r="B17" s="3" t="s">
        <v>86</v>
      </c>
      <c r="C17" s="2" t="s">
        <v>62</v>
      </c>
      <c r="D17" s="2" t="s">
        <v>63</v>
      </c>
      <c r="E17" s="2" t="s">
        <v>32</v>
      </c>
      <c r="F17" s="4" t="n">
        <f aca="false">COUNTIF(Rules!$B$2:$B$26,L17)+COUNTIF(Rules!$B$2:$B$26,M17)</f>
        <v>5</v>
      </c>
      <c r="G17" s="4" t="n">
        <f aca="false">COUNTIFS(Rules!$B$2:$B$26,L17,Rules!$E$2:$E$26,"In force")+COUNTIFS(Rules!$B$2:$B$26,M17,Rules!$E$2:$E$26,"In force")</f>
        <v>4</v>
      </c>
      <c r="H17" s="4" t="n">
        <f aca="false">COUNTIFS(Rules!$B$2:$B$26,L17,Rules!$E$2:$E$26,"Adopted, applies later")+COUNTIFS(Rules!$B$2:$B$26,M17,Rules!$E$2:$E$26,"Adopted, applies later")</f>
        <v>0</v>
      </c>
      <c r="I17" s="4" t="n">
        <f aca="false">COUNTIFS(Rules!$B$2:$B$26,L17,Rules!$E$2:$E$26,"Proposal / draft")+COUNTIFS(Rules!$B$2:$B$26,M17,Rules!$E$2:$E$26,"Proposal / draft")</f>
        <v>1</v>
      </c>
      <c r="J17" s="2" t="s">
        <v>87</v>
      </c>
      <c r="K17" s="2" t="s">
        <v>84</v>
      </c>
      <c r="L17" s="2" t="s">
        <v>88</v>
      </c>
      <c r="M17" s="2" t="s">
        <v>62</v>
      </c>
    </row>
    <row r="18" customFormat="false" ht="23.85" hidden="false" customHeight="false" outlineLevel="0" collapsed="false">
      <c r="A18" s="2" t="n">
        <v>17</v>
      </c>
      <c r="B18" s="3" t="s">
        <v>89</v>
      </c>
      <c r="C18" s="2" t="s">
        <v>68</v>
      </c>
      <c r="D18" s="2" t="s">
        <v>90</v>
      </c>
      <c r="E18" s="2" t="s">
        <v>91</v>
      </c>
      <c r="F18" s="4" t="n">
        <f aca="false">COUNTIF(Rules!$B$2:$B$26,L18)+COUNTIF(Rules!$B$2:$B$26,M18)</f>
        <v>1</v>
      </c>
      <c r="G18" s="4" t="n">
        <f aca="false">COUNTIFS(Rules!$B$2:$B$26,L18,Rules!$E$2:$E$26,"In force")+COUNTIFS(Rules!$B$2:$B$26,M18,Rules!$E$2:$E$26,"In force")</f>
        <v>1</v>
      </c>
      <c r="H18" s="4" t="n">
        <f aca="false">COUNTIFS(Rules!$B$2:$B$26,L18,Rules!$E$2:$E$26,"Adopted, applies later")+COUNTIFS(Rules!$B$2:$B$26,M18,Rules!$E$2:$E$26,"Adopted, applies later")</f>
        <v>0</v>
      </c>
      <c r="I18" s="4" t="n">
        <f aca="false">COUNTIFS(Rules!$B$2:$B$26,L18,Rules!$E$2:$E$26,"Proposal / draft")+COUNTIFS(Rules!$B$2:$B$26,M18,Rules!$E$2:$E$26,"Proposal / draft")</f>
        <v>0</v>
      </c>
      <c r="J18" s="2" t="s">
        <v>92</v>
      </c>
      <c r="K18" s="2" t="s">
        <v>93</v>
      </c>
      <c r="L18" s="2" t="s">
        <v>94</v>
      </c>
      <c r="M18" s="2" t="s">
        <v>72</v>
      </c>
    </row>
    <row r="19" customFormat="false" ht="23.85" hidden="false" customHeight="false" outlineLevel="0" collapsed="false">
      <c r="A19" s="2" t="n">
        <v>18</v>
      </c>
      <c r="B19" s="3" t="s">
        <v>95</v>
      </c>
      <c r="C19" s="2" t="s">
        <v>68</v>
      </c>
      <c r="D19" s="2" t="s">
        <v>90</v>
      </c>
      <c r="E19" s="2" t="s">
        <v>42</v>
      </c>
      <c r="F19" s="4" t="n">
        <f aca="false">COUNTIF(Rules!$B$2:$B$26,L19)+COUNTIF(Rules!$B$2:$B$26,M19)</f>
        <v>0</v>
      </c>
      <c r="G19" s="4" t="n">
        <f aca="false">COUNTIFS(Rules!$B$2:$B$26,L19,Rules!$E$2:$E$26,"In force")+COUNTIFS(Rules!$B$2:$B$26,M19,Rules!$E$2:$E$26,"In force")</f>
        <v>0</v>
      </c>
      <c r="H19" s="4" t="n">
        <f aca="false">COUNTIFS(Rules!$B$2:$B$26,L19,Rules!$E$2:$E$26,"Adopted, applies later")+COUNTIFS(Rules!$B$2:$B$26,M19,Rules!$E$2:$E$26,"Adopted, applies later")</f>
        <v>0</v>
      </c>
      <c r="I19" s="4" t="n">
        <f aca="false">COUNTIFS(Rules!$B$2:$B$26,L19,Rules!$E$2:$E$26,"Proposal / draft")+COUNTIFS(Rules!$B$2:$B$26,M19,Rules!$E$2:$E$26,"Proposal / draft")</f>
        <v>0</v>
      </c>
      <c r="J19" s="2" t="s">
        <v>96</v>
      </c>
      <c r="K19" s="2" t="s">
        <v>97</v>
      </c>
      <c r="L19" s="2" t="s">
        <v>98</v>
      </c>
      <c r="M19" s="2" t="s">
        <v>72</v>
      </c>
    </row>
    <row r="20" customFormat="false" ht="23.85" hidden="false" customHeight="false" outlineLevel="0" collapsed="false">
      <c r="A20" s="2" t="n">
        <v>19</v>
      </c>
      <c r="B20" s="3" t="s">
        <v>99</v>
      </c>
      <c r="C20" s="2" t="s">
        <v>68</v>
      </c>
      <c r="D20" s="2" t="s">
        <v>100</v>
      </c>
      <c r="E20" s="2" t="s">
        <v>32</v>
      </c>
      <c r="F20" s="4" t="n">
        <f aca="false">COUNTIF(Rules!$B$2:$B$26,L20)+COUNTIF(Rules!$B$2:$B$26,M20)</f>
        <v>3</v>
      </c>
      <c r="G20" s="4" t="n">
        <f aca="false">COUNTIFS(Rules!$B$2:$B$26,L20,Rules!$E$2:$E$26,"In force")+COUNTIFS(Rules!$B$2:$B$26,M20,Rules!$E$2:$E$26,"In force")</f>
        <v>1</v>
      </c>
      <c r="H20" s="4" t="n">
        <f aca="false">COUNTIFS(Rules!$B$2:$B$26,L20,Rules!$E$2:$E$26,"Adopted, applies later")+COUNTIFS(Rules!$B$2:$B$26,M20,Rules!$E$2:$E$26,"Adopted, applies later")</f>
        <v>1</v>
      </c>
      <c r="I20" s="4" t="n">
        <f aca="false">COUNTIFS(Rules!$B$2:$B$26,L20,Rules!$E$2:$E$26,"Proposal / draft")+COUNTIFS(Rules!$B$2:$B$26,M20,Rules!$E$2:$E$26,"Proposal / draft")</f>
        <v>1</v>
      </c>
      <c r="J20" s="2" t="s">
        <v>101</v>
      </c>
      <c r="K20" s="2" t="s">
        <v>102</v>
      </c>
      <c r="L20" s="2" t="s">
        <v>103</v>
      </c>
      <c r="M20" s="2" t="s">
        <v>72</v>
      </c>
    </row>
    <row r="21" customFormat="false" ht="23.85" hidden="false" customHeight="false" outlineLevel="0" collapsed="false">
      <c r="A21" s="2" t="n">
        <v>20</v>
      </c>
      <c r="B21" s="3" t="s">
        <v>104</v>
      </c>
      <c r="C21" s="2" t="s">
        <v>62</v>
      </c>
      <c r="D21" s="2" t="s">
        <v>63</v>
      </c>
      <c r="E21" s="2" t="s">
        <v>32</v>
      </c>
      <c r="F21" s="4" t="n">
        <f aca="false">COUNTIF(Rules!$B$2:$B$26,L21)+COUNTIF(Rules!$B$2:$B$26,M21)</f>
        <v>5</v>
      </c>
      <c r="G21" s="4" t="n">
        <f aca="false">COUNTIFS(Rules!$B$2:$B$26,L21,Rules!$E$2:$E$26,"In force")+COUNTIFS(Rules!$B$2:$B$26,M21,Rules!$E$2:$E$26,"In force")</f>
        <v>4</v>
      </c>
      <c r="H21" s="4" t="n">
        <f aca="false">COUNTIFS(Rules!$B$2:$B$26,L21,Rules!$E$2:$E$26,"Adopted, applies later")+COUNTIFS(Rules!$B$2:$B$26,M21,Rules!$E$2:$E$26,"Adopted, applies later")</f>
        <v>0</v>
      </c>
      <c r="I21" s="4" t="n">
        <f aca="false">COUNTIFS(Rules!$B$2:$B$26,L21,Rules!$E$2:$E$26,"Proposal / draft")+COUNTIFS(Rules!$B$2:$B$26,M21,Rules!$E$2:$E$26,"Proposal / draft")</f>
        <v>1</v>
      </c>
      <c r="J21" s="2" t="s">
        <v>105</v>
      </c>
      <c r="K21" s="2" t="s">
        <v>84</v>
      </c>
      <c r="L21" s="2" t="s">
        <v>106</v>
      </c>
      <c r="M21" s="2" t="s">
        <v>62</v>
      </c>
    </row>
    <row r="23" customFormat="false" ht="15" hidden="false" customHeight="false" outlineLevel="0" collapsed="false">
      <c r="B23" s="5" t="s">
        <v>107</v>
      </c>
      <c r="F23" s="5" t="n">
        <f aca="false">COUNTA(Rules!$A$2:$A$26)</f>
        <v>25</v>
      </c>
      <c r="G23" s="5" t="n">
        <f aca="false">COUNTIF(Rules!$E$2:$E$26,"In force")</f>
        <v>15</v>
      </c>
      <c r="H23" s="5" t="n">
        <f aca="false">COUNTIF(Rules!$E$2:$E$26,"Adopted, applies later")</f>
        <v>4</v>
      </c>
      <c r="I23" s="5" t="n">
        <f aca="false">COUNTIF(Rules!$E$2:$E$26,"Proposal / draft")</f>
        <v>6</v>
      </c>
    </row>
    <row r="24" customFormat="false" ht="15" hidden="false" customHeight="false" outlineLevel="0" collapsed="false">
      <c r="B24" s="6" t="s">
        <v>108</v>
      </c>
    </row>
  </sheetData>
  <autoFilter ref="A1:M21"/>
  <dataValidations count="1">
    <dataValidation allowBlank="true" errorStyle="stop" operator="between" showDropDown="false" showErrorMessage="false" showInputMessage="false" sqref="E2:E21" type="list">
      <formula1>"High,Medium,Low,None,No data"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9"/>
    <col collapsed="false" customWidth="true" hidden="false" outlineLevel="0" max="3" min="3" style="0" width="20"/>
    <col collapsed="false" customWidth="true" hidden="false" outlineLevel="0" max="4" min="4" style="0" width="24"/>
    <col collapsed="false" customWidth="true" hidden="false" outlineLevel="0" max="5" min="5" style="0" width="17"/>
    <col collapsed="false" customWidth="true" hidden="false" outlineLevel="0" max="6" min="6" style="0" width="13"/>
    <col collapsed="false" customWidth="true" hidden="false" outlineLevel="0" max="8" min="7" style="0" width="34"/>
    <col collapsed="false" customWidth="true" hidden="false" outlineLevel="0" max="9" min="9" style="0" width="70"/>
    <col collapsed="false" customWidth="true" hidden="false" outlineLevel="0" max="10" min="10" style="0" width="40"/>
  </cols>
  <sheetData>
    <row r="1" customFormat="false" ht="31.5" hidden="false" customHeight="true" outlineLevel="0" collapsed="false">
      <c r="A1" s="1" t="s">
        <v>0</v>
      </c>
      <c r="B1" s="1" t="s">
        <v>109</v>
      </c>
      <c r="C1" s="1" t="s">
        <v>110</v>
      </c>
      <c r="D1" s="1" t="s">
        <v>111</v>
      </c>
      <c r="E1" s="1" t="s">
        <v>112</v>
      </c>
      <c r="F1" s="1" t="s">
        <v>113</v>
      </c>
      <c r="G1" s="1" t="s">
        <v>114</v>
      </c>
      <c r="H1" s="1" t="s">
        <v>115</v>
      </c>
      <c r="I1" s="1" t="s">
        <v>116</v>
      </c>
      <c r="J1" s="1" t="s">
        <v>117</v>
      </c>
    </row>
    <row r="2" customFormat="false" ht="35.05" hidden="false" customHeight="false" outlineLevel="0" collapsed="false">
      <c r="A2" s="2" t="n">
        <v>1</v>
      </c>
      <c r="B2" s="2" t="s">
        <v>14</v>
      </c>
      <c r="C2" s="2" t="s">
        <v>118</v>
      </c>
      <c r="D2" s="2" t="s">
        <v>119</v>
      </c>
      <c r="E2" s="7" t="s">
        <v>6</v>
      </c>
      <c r="F2" s="2" t="s">
        <v>120</v>
      </c>
      <c r="G2" s="2" t="s">
        <v>121</v>
      </c>
      <c r="H2" s="3" t="s">
        <v>122</v>
      </c>
      <c r="I2" s="2" t="s">
        <v>123</v>
      </c>
      <c r="J2" s="8" t="s">
        <v>124</v>
      </c>
    </row>
    <row r="3" customFormat="false" ht="35.05" hidden="false" customHeight="false" outlineLevel="0" collapsed="false">
      <c r="A3" s="2" t="n">
        <v>2</v>
      </c>
      <c r="B3" s="2" t="s">
        <v>14</v>
      </c>
      <c r="C3" s="2" t="s">
        <v>118</v>
      </c>
      <c r="D3" s="2" t="s">
        <v>125</v>
      </c>
      <c r="E3" s="7" t="s">
        <v>6</v>
      </c>
      <c r="F3" s="2" t="s">
        <v>126</v>
      </c>
      <c r="G3" s="2" t="s">
        <v>127</v>
      </c>
      <c r="H3" s="3" t="s">
        <v>128</v>
      </c>
      <c r="I3" s="2" t="s">
        <v>129</v>
      </c>
      <c r="J3" s="8" t="s">
        <v>130</v>
      </c>
    </row>
    <row r="4" customFormat="false" ht="35.05" hidden="false" customHeight="false" outlineLevel="0" collapsed="false">
      <c r="A4" s="2" t="n">
        <v>3</v>
      </c>
      <c r="B4" s="2" t="s">
        <v>14</v>
      </c>
      <c r="C4" s="2" t="s">
        <v>118</v>
      </c>
      <c r="D4" s="2" t="s">
        <v>125</v>
      </c>
      <c r="E4" s="7" t="s">
        <v>6</v>
      </c>
      <c r="F4" s="2" t="s">
        <v>131</v>
      </c>
      <c r="G4" s="2" t="s">
        <v>132</v>
      </c>
      <c r="H4" s="3" t="s">
        <v>133</v>
      </c>
      <c r="I4" s="2" t="s">
        <v>134</v>
      </c>
      <c r="J4" s="8" t="s">
        <v>135</v>
      </c>
    </row>
    <row r="5" customFormat="false" ht="35.05" hidden="false" customHeight="false" outlineLevel="0" collapsed="false">
      <c r="A5" s="2" t="n">
        <v>4</v>
      </c>
      <c r="B5" s="2" t="s">
        <v>14</v>
      </c>
      <c r="C5" s="2" t="s">
        <v>118</v>
      </c>
      <c r="D5" s="2" t="s">
        <v>136</v>
      </c>
      <c r="E5" s="9" t="s">
        <v>137</v>
      </c>
      <c r="F5" s="2" t="s">
        <v>138</v>
      </c>
      <c r="G5" s="2" t="s">
        <v>139</v>
      </c>
      <c r="H5" s="3" t="s">
        <v>140</v>
      </c>
      <c r="I5" s="2" t="s">
        <v>141</v>
      </c>
      <c r="J5" s="8" t="s">
        <v>142</v>
      </c>
    </row>
    <row r="6" customFormat="false" ht="23.85" hidden="false" customHeight="false" outlineLevel="0" collapsed="false">
      <c r="A6" s="2" t="n">
        <v>5</v>
      </c>
      <c r="B6" s="2" t="s">
        <v>14</v>
      </c>
      <c r="C6" s="2" t="s">
        <v>118</v>
      </c>
      <c r="D6" s="2" t="s">
        <v>136</v>
      </c>
      <c r="E6" s="10" t="s">
        <v>143</v>
      </c>
      <c r="F6" s="2" t="s">
        <v>144</v>
      </c>
      <c r="G6" s="2" t="s">
        <v>145</v>
      </c>
      <c r="H6" s="3" t="s">
        <v>146</v>
      </c>
      <c r="I6" s="2" t="s">
        <v>147</v>
      </c>
      <c r="J6" s="8" t="s">
        <v>148</v>
      </c>
    </row>
    <row r="7" customFormat="false" ht="23.85" hidden="false" customHeight="false" outlineLevel="0" collapsed="false">
      <c r="A7" s="2" t="n">
        <v>6</v>
      </c>
      <c r="B7" s="2" t="s">
        <v>62</v>
      </c>
      <c r="C7" s="2" t="s">
        <v>149</v>
      </c>
      <c r="D7" s="2" t="s">
        <v>119</v>
      </c>
      <c r="E7" s="7" t="s">
        <v>6</v>
      </c>
      <c r="F7" s="2" t="s">
        <v>150</v>
      </c>
      <c r="G7" s="2" t="s">
        <v>151</v>
      </c>
      <c r="H7" s="3" t="s">
        <v>152</v>
      </c>
      <c r="I7" s="2" t="s">
        <v>153</v>
      </c>
      <c r="J7" s="8" t="s">
        <v>154</v>
      </c>
    </row>
    <row r="8" customFormat="false" ht="23.85" hidden="false" customHeight="false" outlineLevel="0" collapsed="false">
      <c r="A8" s="2" t="n">
        <v>7</v>
      </c>
      <c r="B8" s="2" t="s">
        <v>62</v>
      </c>
      <c r="C8" s="2" t="s">
        <v>149</v>
      </c>
      <c r="D8" s="2" t="s">
        <v>119</v>
      </c>
      <c r="E8" s="10" t="s">
        <v>143</v>
      </c>
      <c r="F8" s="2" t="s">
        <v>90</v>
      </c>
      <c r="G8" s="2" t="s">
        <v>155</v>
      </c>
      <c r="H8" s="3" t="s">
        <v>156</v>
      </c>
      <c r="I8" s="2" t="s">
        <v>157</v>
      </c>
      <c r="J8" s="8" t="s">
        <v>158</v>
      </c>
    </row>
    <row r="9" customFormat="false" ht="23.85" hidden="false" customHeight="false" outlineLevel="0" collapsed="false">
      <c r="A9" s="2" t="n">
        <v>8</v>
      </c>
      <c r="B9" s="2" t="s">
        <v>62</v>
      </c>
      <c r="C9" s="2" t="s">
        <v>149</v>
      </c>
      <c r="D9" s="2" t="s">
        <v>159</v>
      </c>
      <c r="E9" s="7" t="s">
        <v>6</v>
      </c>
      <c r="F9" s="2" t="s">
        <v>160</v>
      </c>
      <c r="G9" s="2" t="s">
        <v>161</v>
      </c>
      <c r="H9" s="3" t="s">
        <v>162</v>
      </c>
      <c r="I9" s="2" t="s">
        <v>163</v>
      </c>
      <c r="J9" s="8" t="s">
        <v>164</v>
      </c>
    </row>
    <row r="10" customFormat="false" ht="23.85" hidden="false" customHeight="false" outlineLevel="0" collapsed="false">
      <c r="A10" s="2" t="n">
        <v>9</v>
      </c>
      <c r="B10" s="2" t="s">
        <v>62</v>
      </c>
      <c r="C10" s="2" t="s">
        <v>149</v>
      </c>
      <c r="D10" s="2" t="s">
        <v>165</v>
      </c>
      <c r="E10" s="7" t="s">
        <v>6</v>
      </c>
      <c r="F10" s="2" t="s">
        <v>90</v>
      </c>
      <c r="G10" s="2" t="s">
        <v>166</v>
      </c>
      <c r="H10" s="3" t="s">
        <v>167</v>
      </c>
      <c r="I10" s="2" t="s">
        <v>168</v>
      </c>
      <c r="J10" s="2" t="s">
        <v>90</v>
      </c>
    </row>
    <row r="11" customFormat="false" ht="35.05" hidden="false" customHeight="false" outlineLevel="0" collapsed="false">
      <c r="A11" s="2" t="n">
        <v>10</v>
      </c>
      <c r="B11" s="2" t="s">
        <v>77</v>
      </c>
      <c r="C11" s="2" t="s">
        <v>73</v>
      </c>
      <c r="D11" s="2" t="s">
        <v>169</v>
      </c>
      <c r="E11" s="7" t="s">
        <v>6</v>
      </c>
      <c r="F11" s="2" t="s">
        <v>170</v>
      </c>
      <c r="G11" s="2" t="s">
        <v>171</v>
      </c>
      <c r="H11" s="3" t="s">
        <v>172</v>
      </c>
      <c r="I11" s="2" t="s">
        <v>173</v>
      </c>
      <c r="J11" s="8" t="s">
        <v>174</v>
      </c>
    </row>
    <row r="12" customFormat="false" ht="35.05" hidden="false" customHeight="false" outlineLevel="0" collapsed="false">
      <c r="A12" s="2" t="n">
        <v>11</v>
      </c>
      <c r="B12" s="2" t="s">
        <v>77</v>
      </c>
      <c r="C12" s="2" t="s">
        <v>73</v>
      </c>
      <c r="D12" s="2" t="s">
        <v>119</v>
      </c>
      <c r="E12" s="7" t="s">
        <v>6</v>
      </c>
      <c r="F12" s="2" t="s">
        <v>170</v>
      </c>
      <c r="G12" s="2" t="s">
        <v>175</v>
      </c>
      <c r="H12" s="3" t="s">
        <v>176</v>
      </c>
      <c r="I12" s="2" t="s">
        <v>177</v>
      </c>
      <c r="J12" s="8" t="s">
        <v>178</v>
      </c>
    </row>
    <row r="13" customFormat="false" ht="23.85" hidden="false" customHeight="false" outlineLevel="0" collapsed="false">
      <c r="A13" s="2" t="n">
        <v>12</v>
      </c>
      <c r="B13" s="2" t="s">
        <v>71</v>
      </c>
      <c r="C13" s="2" t="s">
        <v>67</v>
      </c>
      <c r="D13" s="2" t="s">
        <v>179</v>
      </c>
      <c r="E13" s="7" t="s">
        <v>6</v>
      </c>
      <c r="F13" s="2" t="s">
        <v>180</v>
      </c>
      <c r="G13" s="2" t="s">
        <v>181</v>
      </c>
      <c r="H13" s="3" t="s">
        <v>182</v>
      </c>
      <c r="I13" s="2" t="s">
        <v>183</v>
      </c>
      <c r="J13" s="8" t="s">
        <v>184</v>
      </c>
    </row>
    <row r="14" customFormat="false" ht="23.85" hidden="false" customHeight="false" outlineLevel="0" collapsed="false">
      <c r="A14" s="2" t="n">
        <v>13</v>
      </c>
      <c r="B14" s="2" t="s">
        <v>81</v>
      </c>
      <c r="C14" s="2" t="s">
        <v>78</v>
      </c>
      <c r="D14" s="2" t="s">
        <v>159</v>
      </c>
      <c r="E14" s="7" t="s">
        <v>6</v>
      </c>
      <c r="F14" s="2" t="s">
        <v>185</v>
      </c>
      <c r="G14" s="2" t="s">
        <v>186</v>
      </c>
      <c r="H14" s="3" t="s">
        <v>187</v>
      </c>
      <c r="I14" s="2" t="s">
        <v>188</v>
      </c>
      <c r="J14" s="8" t="s">
        <v>189</v>
      </c>
    </row>
    <row r="15" customFormat="false" ht="23.85" hidden="false" customHeight="false" outlineLevel="0" collapsed="false">
      <c r="A15" s="2" t="n">
        <v>14</v>
      </c>
      <c r="B15" s="2" t="s">
        <v>81</v>
      </c>
      <c r="C15" s="2" t="s">
        <v>78</v>
      </c>
      <c r="D15" s="2" t="s">
        <v>190</v>
      </c>
      <c r="E15" s="9" t="s">
        <v>137</v>
      </c>
      <c r="F15" s="2" t="s">
        <v>191</v>
      </c>
      <c r="G15" s="2" t="s">
        <v>192</v>
      </c>
      <c r="H15" s="3" t="s">
        <v>193</v>
      </c>
      <c r="I15" s="2" t="s">
        <v>194</v>
      </c>
      <c r="J15" s="8" t="s">
        <v>195</v>
      </c>
    </row>
    <row r="16" customFormat="false" ht="23.85" hidden="false" customHeight="false" outlineLevel="0" collapsed="false">
      <c r="A16" s="2" t="n">
        <v>15</v>
      </c>
      <c r="B16" s="2" t="s">
        <v>81</v>
      </c>
      <c r="C16" s="2" t="s">
        <v>78</v>
      </c>
      <c r="D16" s="2" t="s">
        <v>165</v>
      </c>
      <c r="E16" s="7" t="s">
        <v>6</v>
      </c>
      <c r="F16" s="2" t="s">
        <v>196</v>
      </c>
      <c r="G16" s="2" t="s">
        <v>197</v>
      </c>
      <c r="H16" s="3" t="s">
        <v>198</v>
      </c>
      <c r="I16" s="2" t="s">
        <v>199</v>
      </c>
      <c r="J16" s="8" t="s">
        <v>200</v>
      </c>
    </row>
    <row r="17" customFormat="false" ht="35.05" hidden="false" customHeight="false" outlineLevel="0" collapsed="false">
      <c r="A17" s="2" t="n">
        <v>16</v>
      </c>
      <c r="B17" s="2" t="s">
        <v>81</v>
      </c>
      <c r="C17" s="2" t="s">
        <v>78</v>
      </c>
      <c r="D17" s="2" t="s">
        <v>169</v>
      </c>
      <c r="E17" s="10" t="s">
        <v>143</v>
      </c>
      <c r="F17" s="2" t="s">
        <v>201</v>
      </c>
      <c r="G17" s="2" t="s">
        <v>202</v>
      </c>
      <c r="H17" s="3" t="s">
        <v>203</v>
      </c>
      <c r="I17" s="2" t="s">
        <v>204</v>
      </c>
      <c r="J17" s="8" t="s">
        <v>205</v>
      </c>
    </row>
    <row r="18" customFormat="false" ht="23.85" hidden="false" customHeight="false" outlineLevel="0" collapsed="false">
      <c r="A18" s="2" t="n">
        <v>17</v>
      </c>
      <c r="B18" s="2" t="s">
        <v>81</v>
      </c>
      <c r="C18" s="2" t="s">
        <v>78</v>
      </c>
      <c r="D18" s="2" t="s">
        <v>119</v>
      </c>
      <c r="E18" s="10" t="s">
        <v>143</v>
      </c>
      <c r="F18" s="2" t="s">
        <v>206</v>
      </c>
      <c r="G18" s="2" t="s">
        <v>207</v>
      </c>
      <c r="H18" s="3" t="s">
        <v>208</v>
      </c>
      <c r="I18" s="2" t="s">
        <v>209</v>
      </c>
      <c r="J18" s="8" t="s">
        <v>210</v>
      </c>
    </row>
    <row r="19" customFormat="false" ht="23.85" hidden="false" customHeight="false" outlineLevel="0" collapsed="false">
      <c r="A19" s="2" t="n">
        <v>18</v>
      </c>
      <c r="B19" s="2" t="s">
        <v>85</v>
      </c>
      <c r="C19" s="2" t="s">
        <v>82</v>
      </c>
      <c r="D19" s="2" t="s">
        <v>190</v>
      </c>
      <c r="E19" s="9" t="s">
        <v>137</v>
      </c>
      <c r="F19" s="2" t="s">
        <v>211</v>
      </c>
      <c r="G19" s="2" t="s">
        <v>212</v>
      </c>
      <c r="H19" s="3" t="s">
        <v>213</v>
      </c>
      <c r="I19" s="2" t="s">
        <v>214</v>
      </c>
      <c r="J19" s="8" t="s">
        <v>215</v>
      </c>
    </row>
    <row r="20" customFormat="false" ht="23.85" hidden="false" customHeight="false" outlineLevel="0" collapsed="false">
      <c r="A20" s="2" t="n">
        <v>19</v>
      </c>
      <c r="B20" s="2" t="s">
        <v>85</v>
      </c>
      <c r="C20" s="2" t="s">
        <v>82</v>
      </c>
      <c r="D20" s="2" t="s">
        <v>119</v>
      </c>
      <c r="E20" s="10" t="s">
        <v>143</v>
      </c>
      <c r="F20" s="2" t="s">
        <v>90</v>
      </c>
      <c r="G20" s="2" t="s">
        <v>216</v>
      </c>
      <c r="H20" s="3" t="s">
        <v>217</v>
      </c>
      <c r="I20" s="2" t="s">
        <v>218</v>
      </c>
      <c r="J20" s="8" t="s">
        <v>219</v>
      </c>
    </row>
    <row r="21" customFormat="false" ht="23.85" hidden="false" customHeight="false" outlineLevel="0" collapsed="false">
      <c r="A21" s="2" t="n">
        <v>20</v>
      </c>
      <c r="B21" s="2" t="s">
        <v>88</v>
      </c>
      <c r="C21" s="2" t="s">
        <v>86</v>
      </c>
      <c r="D21" s="2" t="s">
        <v>165</v>
      </c>
      <c r="E21" s="7" t="s">
        <v>6</v>
      </c>
      <c r="F21" s="2" t="s">
        <v>90</v>
      </c>
      <c r="G21" s="2" t="s">
        <v>220</v>
      </c>
      <c r="H21" s="3" t="s">
        <v>221</v>
      </c>
      <c r="I21" s="2" t="s">
        <v>222</v>
      </c>
      <c r="J21" s="8" t="s">
        <v>223</v>
      </c>
    </row>
    <row r="22" customFormat="false" ht="23.85" hidden="false" customHeight="false" outlineLevel="0" collapsed="false">
      <c r="A22" s="2" t="n">
        <v>21</v>
      </c>
      <c r="B22" s="2" t="s">
        <v>94</v>
      </c>
      <c r="C22" s="2" t="s">
        <v>89</v>
      </c>
      <c r="D22" s="2" t="s">
        <v>179</v>
      </c>
      <c r="E22" s="7" t="s">
        <v>6</v>
      </c>
      <c r="F22" s="2" t="s">
        <v>224</v>
      </c>
      <c r="G22" s="2" t="s">
        <v>225</v>
      </c>
      <c r="H22" s="3" t="s">
        <v>226</v>
      </c>
      <c r="I22" s="2" t="s">
        <v>227</v>
      </c>
      <c r="J22" s="8" t="s">
        <v>228</v>
      </c>
    </row>
    <row r="23" customFormat="false" ht="35.05" hidden="false" customHeight="false" outlineLevel="0" collapsed="false">
      <c r="A23" s="2" t="n">
        <v>22</v>
      </c>
      <c r="B23" s="2" t="s">
        <v>103</v>
      </c>
      <c r="C23" s="2" t="s">
        <v>99</v>
      </c>
      <c r="D23" s="2" t="s">
        <v>179</v>
      </c>
      <c r="E23" s="7" t="s">
        <v>6</v>
      </c>
      <c r="F23" s="2" t="s">
        <v>229</v>
      </c>
      <c r="G23" s="2" t="s">
        <v>230</v>
      </c>
      <c r="H23" s="3" t="s">
        <v>231</v>
      </c>
      <c r="I23" s="2" t="s">
        <v>232</v>
      </c>
      <c r="J23" s="8" t="s">
        <v>233</v>
      </c>
    </row>
    <row r="24" customFormat="false" ht="35.05" hidden="false" customHeight="false" outlineLevel="0" collapsed="false">
      <c r="A24" s="2" t="n">
        <v>23</v>
      </c>
      <c r="B24" s="2" t="s">
        <v>103</v>
      </c>
      <c r="C24" s="2" t="s">
        <v>99</v>
      </c>
      <c r="D24" s="2" t="s">
        <v>234</v>
      </c>
      <c r="E24" s="10" t="s">
        <v>143</v>
      </c>
      <c r="F24" s="2" t="s">
        <v>235</v>
      </c>
      <c r="G24" s="2" t="s">
        <v>236</v>
      </c>
      <c r="H24" s="3" t="s">
        <v>237</v>
      </c>
      <c r="I24" s="2" t="s">
        <v>238</v>
      </c>
      <c r="J24" s="8" t="s">
        <v>239</v>
      </c>
    </row>
    <row r="25" customFormat="false" ht="35.05" hidden="false" customHeight="false" outlineLevel="0" collapsed="false">
      <c r="A25" s="2" t="n">
        <v>24</v>
      </c>
      <c r="B25" s="2" t="s">
        <v>103</v>
      </c>
      <c r="C25" s="2" t="s">
        <v>99</v>
      </c>
      <c r="D25" s="2" t="s">
        <v>190</v>
      </c>
      <c r="E25" s="9" t="s">
        <v>137</v>
      </c>
      <c r="F25" s="2" t="s">
        <v>240</v>
      </c>
      <c r="G25" s="2" t="s">
        <v>241</v>
      </c>
      <c r="H25" s="3" t="s">
        <v>242</v>
      </c>
      <c r="I25" s="2" t="s">
        <v>243</v>
      </c>
      <c r="J25" s="8" t="s">
        <v>244</v>
      </c>
    </row>
    <row r="26" customFormat="false" ht="23.85" hidden="false" customHeight="false" outlineLevel="0" collapsed="false">
      <c r="A26" s="2" t="n">
        <v>25</v>
      </c>
      <c r="B26" s="2" t="s">
        <v>106</v>
      </c>
      <c r="C26" s="2" t="s">
        <v>104</v>
      </c>
      <c r="D26" s="2" t="s">
        <v>165</v>
      </c>
      <c r="E26" s="7" t="s">
        <v>6</v>
      </c>
      <c r="F26" s="2" t="s">
        <v>245</v>
      </c>
      <c r="G26" s="2" t="s">
        <v>246</v>
      </c>
      <c r="H26" s="3" t="s">
        <v>247</v>
      </c>
      <c r="I26" s="2" t="s">
        <v>248</v>
      </c>
      <c r="J26" s="8" t="s">
        <v>249</v>
      </c>
    </row>
  </sheetData>
  <autoFilter ref="A1:J26"/>
  <hyperlinks>
    <hyperlink ref="J2" r:id="rId1" display="https://eur-lex.europa.eu/eli/reg/2011/1169/oj"/>
    <hyperlink ref="J3" r:id="rId2" display="https://eur-lex.europa.eu/eli/dir/2019/2161/oj"/>
    <hyperlink ref="J4" r:id="rId3" display="https://eur-lex.europa.eu/eli/dir/2024/825/oj"/>
    <hyperlink ref="J5" r:id="rId4" display="https://vinciworks.com/blog/eudr-delayed-again-what-changed-what-is-now-fixed-and-what-businesses-should-do-in-2026/"/>
    <hyperlink ref="J6" r:id="rId5" display="https://blog.foodsconnected.com/7-key-takeaways-from-the-april-2026-eudr-review"/>
    <hyperlink ref="J7" r:id="rId6" display="https://eec.eaeunion.org/comission/department/deptexreg/tr/PischevkaMarkirovka.php"/>
    <hyperlink ref="J8" r:id="rId7" display="https://nkprom.ru/news/v-tr-ts-022-2011-pishchevaya-produktsiya-v-chasti-ee-markirovki-i-tr-ts-022-2011-o-bezopasnosti-sred/"/>
    <hyperlink ref="J9" r:id="rId8" display="https://foodsmi.com/zakonodatelstvo/izmeneniya-v-tekhreglamente-na-maslozhirovuyu-produktsiyu/"/>
    <hyperlink ref="J11" r:id="rId9" display="https://biz.ligazakon.net/news/231710_prezident-pdpisav-zakon-pro-obmezhennya-vikoristannya-palmovo-ol-u-produktakh-kharchuvannya"/>
    <hyperlink ref="J12" r:id="rId10" display="https://ngu.com.ua/palmova-oliia-shkoda-sklad-doza-i-etyketka/"/>
    <hyperlink ref="J13" r:id="rId11" display="https://ansa.gov.md/sites/default/files/documents/Ordine/Ordin%20nr.%20369.pdf"/>
    <hyperlink ref="J14" r:id="rId12" display="https://www.retail.ru/news/v-rossii-poyavilsya-edinyy-katalog-produktov-bez-palmy-23-dekabrya-2025-272975/"/>
    <hyperlink ref="J15" r:id="rId13" display="https://www.klerk.ru/buh/articles/713288/"/>
    <hyperlink ref="J16" r:id="rId14" display="https://www.gazeta.ru/business/2019/07/01/12467725.shtml"/>
    <hyperlink ref="J17" r:id="rId15" display="https://oleoscope.com/analytics/gosduma-predlozhila-markirovku-dlja-masla/"/>
    <hyperlink ref="J18" r:id="rId16" display="https://ria.ru/20260722/markirovka-2106133235.html"/>
    <hyperlink ref="J19" r:id="rId17" display="https://inbusiness.kz/ru/news/v-kazahstane-pochti-vdvoe-rasshirili-markirovku-tovarov"/>
    <hyperlink ref="J20" r:id="rId18" display="https://kapital.kz/business/134274/maslopererabotchiki-rk-vystupayut-za-ukazaniye-nalichiya-v-produktakh-pal-movogo-masla.html"/>
    <hyperlink ref="J21" r:id="rId19" display="https://dairynews.today/kz/news/v-kyrgyzstane-obsuzhdayut-ispolzovanie-palmovogo-masla-v-proizvodstve-moloka.html"/>
    <hyperlink ref="J22" r:id="rId20" display="https://base.spinform.ru/show_doc.fwx?rgn=124770"/>
    <hyperlink ref="J23" r:id="rId21" display="https://podrobno.uz/cat/obchestvo/v-uzbekistane-vvodyat-obyazatelnyy-laboratornyy-kontrol-palmovogo-masla-i-transzhirov/"/>
    <hyperlink ref="J24" r:id="rId22" display="https://www.spot.uz/ru/2026/07/30/palm-oil"/>
    <hyperlink ref="J25" r:id="rId23" display="https://vzglyad.uz/2026/10/09/obsuzhdenie-poryadka-markirovki-rastitelnogo-masla"/>
    <hyperlink ref="J26" r:id="rId24" display="https://dairynews.today/kz/news/armenia-to-enforce-stricter-labeling-rules-for-dairy-and-meat-products.html"/>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90"/>
  </cols>
  <sheetData>
    <row r="1" customFormat="false" ht="16.15" hidden="false" customHeight="false" outlineLevel="0" collapsed="false">
      <c r="A1" s="11" t="s">
        <v>250</v>
      </c>
      <c r="B1" s="12"/>
    </row>
    <row r="2" customFormat="false" ht="15" hidden="false" customHeight="false" outlineLevel="0" collapsed="false">
      <c r="A2" s="5" t="s">
        <v>251</v>
      </c>
      <c r="B2" s="12" t="s">
        <v>252</v>
      </c>
    </row>
    <row r="3" customFormat="false" ht="15" hidden="false" customHeight="false" outlineLevel="0" collapsed="false">
      <c r="A3" s="5" t="s">
        <v>253</v>
      </c>
      <c r="B3" s="12" t="s">
        <v>254</v>
      </c>
    </row>
    <row r="4" customFormat="false" ht="15" hidden="false" customHeight="false" outlineLevel="0" collapsed="false">
      <c r="A4" s="5" t="s">
        <v>255</v>
      </c>
      <c r="B4" s="12" t="s">
        <v>256</v>
      </c>
    </row>
    <row r="5" customFormat="false" ht="15" hidden="false" customHeight="false" outlineLevel="0" collapsed="false">
      <c r="A5" s="13"/>
      <c r="B5" s="12"/>
    </row>
    <row r="6" customFormat="false" ht="15" hidden="false" customHeight="false" outlineLevel="0" collapsed="false">
      <c r="A6" s="5" t="s">
        <v>257</v>
      </c>
      <c r="B6" s="12"/>
    </row>
    <row r="7" customFormat="false" ht="15" hidden="false" customHeight="false" outlineLevel="0" collapsed="false">
      <c r="A7" s="14" t="s">
        <v>6</v>
      </c>
      <c r="B7" s="12"/>
    </row>
    <row r="8" customFormat="false" ht="15" hidden="false" customHeight="false" outlineLevel="0" collapsed="false">
      <c r="A8" s="15" t="s">
        <v>137</v>
      </c>
      <c r="B8" s="12"/>
    </row>
    <row r="9" customFormat="false" ht="15" hidden="false" customHeight="false" outlineLevel="0" collapsed="false">
      <c r="A9" s="16" t="s">
        <v>143</v>
      </c>
      <c r="B9" s="12"/>
    </row>
    <row r="10" customFormat="false" ht="15" hidden="false" customHeight="false" outlineLevel="0" collapsed="false">
      <c r="A10" s="13"/>
      <c r="B10" s="12"/>
    </row>
    <row r="11" customFormat="false" ht="15" hidden="false" customHeight="false" outlineLevel="0" collapsed="false">
      <c r="A11" s="5" t="s">
        <v>258</v>
      </c>
      <c r="B11" s="12"/>
    </row>
    <row r="12" customFormat="false" ht="15" hidden="false" customHeight="false" outlineLevel="0" collapsed="false">
      <c r="A12" s="13" t="s">
        <v>119</v>
      </c>
      <c r="B12" s="12"/>
    </row>
    <row r="13" customFormat="false" ht="15" hidden="false" customHeight="false" outlineLevel="0" collapsed="false">
      <c r="A13" s="13" t="s">
        <v>125</v>
      </c>
      <c r="B13" s="12"/>
    </row>
    <row r="14" customFormat="false" ht="15" hidden="false" customHeight="false" outlineLevel="0" collapsed="false">
      <c r="A14" s="13" t="s">
        <v>169</v>
      </c>
      <c r="B14" s="12"/>
    </row>
    <row r="15" customFormat="false" ht="15" hidden="false" customHeight="false" outlineLevel="0" collapsed="false">
      <c r="A15" s="13" t="s">
        <v>165</v>
      </c>
      <c r="B15" s="12"/>
    </row>
    <row r="16" customFormat="false" ht="15" hidden="false" customHeight="false" outlineLevel="0" collapsed="false">
      <c r="A16" s="13" t="s">
        <v>179</v>
      </c>
      <c r="B16" s="12"/>
    </row>
    <row r="17" customFormat="false" ht="15" hidden="false" customHeight="false" outlineLevel="0" collapsed="false">
      <c r="A17" s="13" t="s">
        <v>190</v>
      </c>
      <c r="B17" s="12"/>
    </row>
    <row r="18" customFormat="false" ht="15" hidden="false" customHeight="false" outlineLevel="0" collapsed="false">
      <c r="A18" s="13" t="s">
        <v>234</v>
      </c>
      <c r="B18" s="12"/>
    </row>
    <row r="19" customFormat="false" ht="15" hidden="false" customHeight="false" outlineLevel="0" collapsed="false">
      <c r="A19" s="13" t="s">
        <v>159</v>
      </c>
      <c r="B19" s="12"/>
    </row>
    <row r="20" customFormat="false" ht="15" hidden="false" customHeight="false" outlineLevel="0" collapsed="false">
      <c r="A20" s="13" t="s">
        <v>136</v>
      </c>
      <c r="B20" s="12"/>
    </row>
    <row r="21" customFormat="false" ht="15" hidden="false" customHeight="false" outlineLevel="0" collapsed="false">
      <c r="A21" s="13"/>
      <c r="B21" s="12"/>
    </row>
    <row r="22" customFormat="false" ht="15" hidden="false" customHeight="false" outlineLevel="0" collapsed="false">
      <c r="A22" s="5" t="s">
        <v>259</v>
      </c>
      <c r="B22" s="12" t="s">
        <v>260</v>
      </c>
    </row>
    <row r="23" customFormat="false" ht="23.85" hidden="false" customHeight="false" outlineLevel="0" collapsed="false">
      <c r="A23" s="5" t="s">
        <v>261</v>
      </c>
      <c r="B23" s="12" t="s">
        <v>262</v>
      </c>
    </row>
    <row r="24" customFormat="false" ht="15" hidden="false" customHeight="false" outlineLevel="0" collapsed="false">
      <c r="A24" s="5" t="s">
        <v>263</v>
      </c>
      <c r="B24" s="12" t="s">
        <v>264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2026-10-23T10:39:09Z</dcterms:created>
  <dc:creator>openpyxl</dc:creator>
  <dc:description/>
  <dc:language>en-US</dc:language>
  <cp:lastModifiedBy/>
  <dcterms:modified xsi:type="dcterms:W3CDTF">2026-10-23T10:39:09Z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